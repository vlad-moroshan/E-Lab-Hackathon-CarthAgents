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AV-Spiegel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<sst xmlns="http://schemas.openxmlformats.org/spreadsheetml/2006/main" count="48" uniqueCount="30">
  <si>
    <t xml:space="preserve">Anlagenspiegel Soringrod Logistik GmbH &amp; Co. KG</t>
  </si>
  <si>
    <t xml:space="preserve">Geschäftsjahr 01.07.2024 - 30.06.2025, Beträge in EUR</t>
  </si>
  <si>
    <t xml:space="preserve">Bilanzposten</t>
  </si>
  <si>
    <t xml:space="preserve">AK/HK 01.07.2024</t>
  </si>
  <si>
    <t xml:space="preserve">Zugang</t>
  </si>
  <si>
    <t xml:space="preserve">Abgang</t>
  </si>
  <si>
    <t xml:space="preserve">Umbuchung</t>
  </si>
  <si>
    <t xml:space="preserve">AK/HK 30.06.2025</t>
  </si>
  <si>
    <t xml:space="preserve">AfA kumuliert 01.07.2024</t>
  </si>
  <si>
    <t xml:space="preserve">AfA lfd. Jahr</t>
  </si>
  <si>
    <t xml:space="preserve">AfA auf Abgänge</t>
  </si>
  <si>
    <t xml:space="preserve">AfA kumuliert 30.06.2025</t>
  </si>
  <si>
    <t xml:space="preserve">Restbuchwert 30.06.2025</t>
  </si>
  <si>
    <t xml:space="preserve">Restbuchwert 30.06.2024</t>
  </si>
  <si>
    <t xml:space="preserve">Anlagevermögen gesamt</t>
  </si>
  <si>
    <t xml:space="preserve">I. Immaterielle Vermögensgegenstände</t>
  </si>
  <si>
    <t xml:space="preserve">2. Entgeltlich erworbene Konzessionen und Lizenzen</t>
  </si>
  <si>
    <t xml:space="preserve">II. Sachanlagen</t>
  </si>
  <si>
    <t xml:space="preserve">1. Grundstücke, grundstücksgleiche Rechte und Bauten</t>
  </si>
  <si>
    <t xml:space="preserve">2. Technische Anlagen und Maschinen</t>
  </si>
  <si>
    <t xml:space="preserve">3. Andere Anlagen, Betriebs- und Geschäftsausstattung</t>
  </si>
  <si>
    <t xml:space="preserve">4. Geleistete Anzahlungen und Anlagen im Bau</t>
  </si>
  <si>
    <t xml:space="preserve">III. Finanzanlagen</t>
  </si>
  <si>
    <t xml:space="preserve">3. Beteiligungen</t>
  </si>
  <si>
    <t xml:space="preserve">Geschäftsjahr 01.07.2023 - 30.06.2024, Beträge in EUR</t>
  </si>
  <si>
    <t xml:space="preserve">AK/HK 01.07.2023</t>
  </si>
  <si>
    <t xml:space="preserve">AK/HK 30.06.2024</t>
  </si>
  <si>
    <t xml:space="preserve">AfA kumuliert 01.07.2023</t>
  </si>
  <si>
    <t xml:space="preserve">AfA kumuliert 30.06.2024</t>
  </si>
  <si>
    <t xml:space="preserve">Restbuchwert 30.06.2023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</si>
</sst>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double"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  <col collapsed="false" customWidth="true" hidden="false" outlineLevel="0" max="12" min="2" style="0" width="16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1" t="s">
        <v>1</v>
      </c>
    </row>
    <row r="4" customFormat="false" ht="15" hidden="false" customHeight="false" outlineLevel="0" collapsed="false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</row>
    <row r="6" customFormat="false" ht="15" hidden="false" customHeight="false" outlineLevel="0" collapsed="false">
      <c r="A6" s="1" t="s">
        <v>14</v>
      </c>
      <c r="B6" s="3" t="n">
        <f aca="false">B7+B9+B14</f>
        <v>1264533.1</v>
      </c>
      <c r="C6" s="3" t="n">
        <f aca="false">C7+C9+C14</f>
        <v>519986.54</v>
      </c>
      <c r="D6" s="3" t="n">
        <f aca="false">D7+D9+D14</f>
        <v>66473.54</v>
      </c>
      <c r="E6" s="3" t="n">
        <f aca="false">E7+E9+E14</f>
        <v>0</v>
      </c>
      <c r="F6" s="3" t="n">
        <f aca="false">F7+F9+F14</f>
        <v>1718046.1</v>
      </c>
      <c r="G6" s="3" t="n">
        <f aca="false">G7+G9+G14</f>
        <v>597574.91</v>
      </c>
      <c r="H6" s="3" t="n">
        <f aca="false">H7+H9+H14</f>
        <v>72783.48</v>
      </c>
      <c r="I6" s="3" t="n">
        <f aca="false">I7+I9+I14</f>
        <v>24927.58</v>
      </c>
      <c r="J6" s="3" t="n">
        <f aca="false">J7+J9+J14</f>
        <v>645430.81</v>
      </c>
      <c r="K6" s="3" t="n">
        <f aca="false">K7+K9+K14</f>
        <v>1072615.29</v>
      </c>
      <c r="L6" s="3" t="n">
        <f aca="false">L7+L9+L14</f>
        <v>666958.19</v>
      </c>
    </row>
    <row r="7" customFormat="false" ht="15" hidden="false" customHeight="false" outlineLevel="0" collapsed="false">
      <c r="A7" s="1" t="s">
        <v>15</v>
      </c>
      <c r="B7" s="4" t="n">
        <f aca="false">SUM(B8)</f>
        <v>51692.53</v>
      </c>
      <c r="C7" s="4" t="n">
        <f aca="false">SUM(C8)</f>
        <v>3605.9</v>
      </c>
      <c r="D7" s="4" t="n">
        <f aca="false">SUM(D8)</f>
        <v>0</v>
      </c>
      <c r="E7" s="4" t="n">
        <f aca="false">SUM(E8)</f>
        <v>0</v>
      </c>
      <c r="F7" s="4" t="n">
        <f aca="false">SUM(F8)</f>
        <v>55298.43</v>
      </c>
      <c r="G7" s="4" t="n">
        <v>42221.03</v>
      </c>
      <c r="H7" s="4" t="n">
        <f aca="false">SUM(H8)</f>
        <v>8715.98</v>
      </c>
      <c r="I7" s="4" t="n">
        <f aca="false">SUM(I8)</f>
        <v>0</v>
      </c>
      <c r="J7" s="4" t="n">
        <f aca="false">SUM(J8)</f>
        <v>50937.01</v>
      </c>
      <c r="K7" s="4" t="n">
        <f aca="false">SUM(K8)</f>
        <v>4361.42000000001</v>
      </c>
      <c r="L7" s="4" t="n">
        <f aca="false">SUM(L8)</f>
        <v>9471.5</v>
      </c>
    </row>
    <row r="8" customFormat="false" ht="15" hidden="false" customHeight="false" outlineLevel="0" collapsed="false">
      <c r="A8" s="2" t="s">
        <v>16</v>
      </c>
      <c r="B8" s="5" t="n">
        <v>51692.53</v>
      </c>
      <c r="C8" s="5" t="n">
        <v>3605.9</v>
      </c>
      <c r="D8" s="5"/>
      <c r="E8" s="5"/>
      <c r="F8" s="5" t="n">
        <f aca="false">B8+C8-D8+E8</f>
        <v>55298.43</v>
      </c>
      <c r="G8" s="5" t="n">
        <v>42221.03</v>
      </c>
      <c r="H8" s="5" t="n">
        <v>8715.98</v>
      </c>
      <c r="I8" s="5"/>
      <c r="J8" s="5" t="n">
        <f aca="false">G8+H8-I8</f>
        <v>50937.01</v>
      </c>
      <c r="K8" s="5" t="n">
        <f aca="false">F8-J8</f>
        <v>4361.42000000001</v>
      </c>
      <c r="L8" s="5" t="n">
        <f aca="false">B8-G8</f>
        <v>9471.5</v>
      </c>
    </row>
    <row r="9" customFormat="false" ht="15" hidden="false" customHeight="false" outlineLevel="0" collapsed="false">
      <c r="A9" s="1" t="s">
        <v>17</v>
      </c>
      <c r="B9" s="4" t="n">
        <f aca="false">SUM(B10:B13)</f>
        <v>898142.15</v>
      </c>
      <c r="C9" s="4" t="n">
        <f aca="false">SUM(C10:C13)</f>
        <v>516380.64</v>
      </c>
      <c r="D9" s="4" t="n">
        <f aca="false">SUM(D10:D13)</f>
        <v>66473.54</v>
      </c>
      <c r="E9" s="4" t="n">
        <f aca="false">SUM(E10:E13)</f>
        <v>0</v>
      </c>
      <c r="F9" s="4" t="n">
        <f aca="false">SUM(F10:F13)</f>
        <v>1348049.25</v>
      </c>
      <c r="G9" s="4" t="n">
        <f aca="false">SUM(G10:G13)</f>
        <v>528656.5</v>
      </c>
      <c r="H9" s="4" t="n">
        <f aca="false">SUM(H10:H13)</f>
        <v>64067.5</v>
      </c>
      <c r="I9" s="4" t="n">
        <f aca="false">SUM(I10:I13)</f>
        <v>24927.58</v>
      </c>
      <c r="J9" s="4" t="n">
        <f aca="false">SUM(J10:J13)</f>
        <v>567796.42</v>
      </c>
      <c r="K9" s="4" t="n">
        <f aca="false">SUM(K10:K13)</f>
        <v>780252.83</v>
      </c>
      <c r="L9" s="4" t="n">
        <f aca="false">SUM(L10:L13)</f>
        <v>369485.65</v>
      </c>
    </row>
    <row r="10" customFormat="false" ht="15" hidden="false" customHeight="false" outlineLevel="0" collapsed="false">
      <c r="A10" s="2" t="s">
        <v>18</v>
      </c>
      <c r="B10" s="5" t="n">
        <v>40033.55</v>
      </c>
      <c r="C10" s="5"/>
      <c r="D10" s="5"/>
      <c r="E10" s="5"/>
      <c r="F10" s="5" t="n">
        <f aca="false">B10+C10-D10+E10</f>
        <v>40033.55</v>
      </c>
      <c r="G10" s="5"/>
      <c r="H10" s="5"/>
      <c r="I10" s="5"/>
      <c r="J10" s="5" t="n">
        <f aca="false">G10+H10-I10</f>
        <v>0</v>
      </c>
      <c r="K10" s="5" t="n">
        <f aca="false">F10-J10</f>
        <v>40033.55</v>
      </c>
      <c r="L10" s="5" t="n">
        <f aca="false">B10-G10</f>
        <v>40033.55</v>
      </c>
    </row>
    <row r="11" customFormat="false" ht="15" hidden="false" customHeight="false" outlineLevel="0" collapsed="false">
      <c r="A11" s="2" t="s">
        <v>19</v>
      </c>
      <c r="B11" s="5" t="n">
        <v>422134.78</v>
      </c>
      <c r="C11" s="5" t="n">
        <v>447114.46</v>
      </c>
      <c r="D11" s="5"/>
      <c r="E11" s="5" t="n">
        <v>290443.52</v>
      </c>
      <c r="F11" s="5" t="n">
        <f aca="false">B11+C11-D11+E11</f>
        <v>1159692.76</v>
      </c>
      <c r="G11" s="5" t="n">
        <v>409742.55</v>
      </c>
      <c r="H11" s="5" t="n">
        <v>52115.3</v>
      </c>
      <c r="I11" s="5"/>
      <c r="J11" s="5" t="n">
        <f aca="false">G11+H11-I11</f>
        <v>461857.85</v>
      </c>
      <c r="K11" s="5" t="n">
        <f aca="false">F11-J11</f>
        <v>697834.91</v>
      </c>
      <c r="L11" s="5" t="n">
        <f aca="false">B11-G11</f>
        <v>12392.23</v>
      </c>
    </row>
    <row r="12" customFormat="false" ht="15" hidden="false" customHeight="false" outlineLevel="0" collapsed="false">
      <c r="A12" s="2" t="s">
        <v>20</v>
      </c>
      <c r="B12" s="5" t="n">
        <v>214284.57</v>
      </c>
      <c r="C12" s="5" t="n">
        <v>511.91</v>
      </c>
      <c r="D12" s="5" t="n">
        <v>66473.54</v>
      </c>
      <c r="E12" s="5"/>
      <c r="F12" s="5" t="n">
        <f aca="false">B12+C12-D12+E12</f>
        <v>148322.94</v>
      </c>
      <c r="G12" s="5" t="n">
        <v>118913.95</v>
      </c>
      <c r="H12" s="5" t="n">
        <f aca="false">11922.67+29.53</f>
        <v>11952.2</v>
      </c>
      <c r="I12" s="5" t="n">
        <v>24927.58</v>
      </c>
      <c r="J12" s="5" t="n">
        <f aca="false">G12+H12-I12</f>
        <v>105938.57</v>
      </c>
      <c r="K12" s="5" t="n">
        <f aca="false">F12-J12</f>
        <v>42384.37</v>
      </c>
      <c r="L12" s="5" t="n">
        <f aca="false">B12-G12</f>
        <v>95370.62</v>
      </c>
    </row>
    <row r="13" customFormat="false" ht="15" hidden="false" customHeight="false" outlineLevel="0" collapsed="false">
      <c r="A13" s="2" t="s">
        <v>21</v>
      </c>
      <c r="B13" s="5" t="n">
        <v>221689.25</v>
      </c>
      <c r="C13" s="5" t="n">
        <v>68754.27</v>
      </c>
      <c r="D13" s="5"/>
      <c r="E13" s="5" t="n">
        <v>-290443.52</v>
      </c>
      <c r="F13" s="5" t="n">
        <f aca="false">B13+C13-D13+E13</f>
        <v>0</v>
      </c>
      <c r="G13" s="5"/>
      <c r="H13" s="5"/>
      <c r="I13" s="5"/>
      <c r="J13" s="5" t="n">
        <f aca="false">G13+H13-I13</f>
        <v>0</v>
      </c>
      <c r="K13" s="5" t="n">
        <f aca="false">F13-J13</f>
        <v>0</v>
      </c>
      <c r="L13" s="5" t="n">
        <f aca="false">B13-G13</f>
        <v>221689.25</v>
      </c>
    </row>
    <row r="14" customFormat="false" ht="15" hidden="false" customHeight="false" outlineLevel="0" collapsed="false">
      <c r="A14" s="1" t="s">
        <v>22</v>
      </c>
      <c r="B14" s="4" t="n">
        <f aca="false">SUM(B15)</f>
        <v>314698.42</v>
      </c>
      <c r="C14" s="4" t="n">
        <f aca="false">SUM(C15)</f>
        <v>0</v>
      </c>
      <c r="D14" s="4" t="n">
        <f aca="false">SUM(D15)</f>
        <v>0</v>
      </c>
      <c r="E14" s="4" t="n">
        <f aca="false">SUM(E15)</f>
        <v>0</v>
      </c>
      <c r="F14" s="4" t="n">
        <f aca="false">SUM(F15)</f>
        <v>314698.42</v>
      </c>
      <c r="G14" s="4" t="n">
        <f aca="false">SUM(G15)</f>
        <v>26697.38</v>
      </c>
      <c r="H14" s="4" t="n">
        <f aca="false">SUM(H15)</f>
        <v>0</v>
      </c>
      <c r="I14" s="4" t="n">
        <f aca="false">SUM(I15)</f>
        <v>0</v>
      </c>
      <c r="J14" s="4" t="n">
        <f aca="false">SUM(J15)</f>
        <v>26697.38</v>
      </c>
      <c r="K14" s="4" t="n">
        <f aca="false">SUM(K15)</f>
        <v>288001.04</v>
      </c>
      <c r="L14" s="4" t="n">
        <f aca="false">SUM(L15)</f>
        <v>288001.04</v>
      </c>
    </row>
    <row r="15" customFormat="false" ht="15" hidden="false" customHeight="false" outlineLevel="0" collapsed="false">
      <c r="A15" s="2" t="s">
        <v>23</v>
      </c>
      <c r="B15" s="5" t="n">
        <v>314698.42</v>
      </c>
      <c r="C15" s="5"/>
      <c r="D15" s="5"/>
      <c r="E15" s="5"/>
      <c r="F15" s="5" t="n">
        <f aca="false">B15+C15-D15+E15</f>
        <v>314698.42</v>
      </c>
      <c r="G15" s="5" t="n">
        <v>26697.38</v>
      </c>
      <c r="H15" s="5"/>
      <c r="I15" s="5"/>
      <c r="J15" s="5" t="n">
        <f aca="false">G15+H15-I15</f>
        <v>26697.38</v>
      </c>
      <c r="K15" s="5" t="n">
        <f aca="false">F15-J15</f>
        <v>288001.04</v>
      </c>
      <c r="L15" s="5" t="n">
        <f aca="false">B15-G15</f>
        <v>288001.04</v>
      </c>
    </row>
    <row r="18" customFormat="false" ht="15" hidden="false" customHeight="false" outlineLevel="0" collapsed="false">
      <c r="A18" s="1" t="s">
        <v>0</v>
      </c>
    </row>
    <row r="19" customFormat="false" ht="15" hidden="false" customHeight="false" outlineLevel="0" collapsed="false">
      <c r="A19" s="1" t="s">
        <v>24</v>
      </c>
    </row>
    <row r="21" customFormat="false" ht="15" hidden="false" customHeight="false" outlineLevel="0" collapsed="false">
      <c r="A21" s="2" t="s">
        <v>2</v>
      </c>
      <c r="B21" s="2" t="s">
        <v>25</v>
      </c>
      <c r="C21" s="2" t="s">
        <v>4</v>
      </c>
      <c r="D21" s="2" t="s">
        <v>5</v>
      </c>
      <c r="E21" s="2" t="s">
        <v>6</v>
      </c>
      <c r="F21" s="2" t="s">
        <v>26</v>
      </c>
      <c r="G21" s="2" t="s">
        <v>27</v>
      </c>
      <c r="H21" s="2" t="s">
        <v>9</v>
      </c>
      <c r="I21" s="2" t="s">
        <v>10</v>
      </c>
      <c r="J21" s="2" t="s">
        <v>28</v>
      </c>
      <c r="K21" s="2" t="s">
        <v>13</v>
      </c>
      <c r="L21" s="2" t="s">
        <v>29</v>
      </c>
    </row>
    <row r="23" customFormat="false" ht="15" hidden="false" customHeight="false" outlineLevel="0" collapsed="false">
      <c r="A23" s="1" t="s">
        <v>14</v>
      </c>
      <c r="B23" s="3" t="n">
        <f aca="false">B24+B26+B31</f>
        <v>1026179.57</v>
      </c>
      <c r="C23" s="3" t="n">
        <f aca="false">C24+C26+C31</f>
        <v>261544.31</v>
      </c>
      <c r="D23" s="3" t="n">
        <f aca="false">D24+D26+D31</f>
        <v>23190.78</v>
      </c>
      <c r="E23" s="3" t="n">
        <f aca="false">E24+E26+E31</f>
        <v>0</v>
      </c>
      <c r="F23" s="3" t="n">
        <f aca="false">F24+F26+F31</f>
        <v>1264533.1</v>
      </c>
      <c r="G23" s="3" t="n">
        <f aca="false">G24+G26+G31</f>
        <v>559961.94</v>
      </c>
      <c r="H23" s="3" t="n">
        <f aca="false">H24+H26+H31</f>
        <v>43410.67</v>
      </c>
      <c r="I23" s="3" t="n">
        <f aca="false">I24+I26+I31</f>
        <v>5797.7</v>
      </c>
      <c r="J23" s="3" t="n">
        <f aca="false">J24+J26+J31</f>
        <v>597574.91</v>
      </c>
      <c r="K23" s="3" t="n">
        <f aca="false">K24+K26+K31</f>
        <v>666958.19</v>
      </c>
      <c r="L23" s="3" t="n">
        <f aca="false">L24+L26+L31</f>
        <v>466217.63</v>
      </c>
    </row>
    <row r="24" customFormat="false" ht="15" hidden="false" customHeight="false" outlineLevel="0" collapsed="false">
      <c r="A24" s="1" t="s">
        <v>15</v>
      </c>
      <c r="B24" s="4" t="n">
        <f aca="false">SUM(B25)</f>
        <v>51692.53</v>
      </c>
      <c r="C24" s="4" t="n">
        <f aca="false">SUM(C25)</f>
        <v>0</v>
      </c>
      <c r="D24" s="4" t="n">
        <f aca="false">SUM(D25)</f>
        <v>0</v>
      </c>
      <c r="E24" s="4" t="n">
        <f aca="false">SUM(E25)</f>
        <v>0</v>
      </c>
      <c r="F24" s="4" t="n">
        <f aca="false">SUM(F25)</f>
        <v>51692.53</v>
      </c>
      <c r="G24" s="4" t="n">
        <v>30831.52</v>
      </c>
      <c r="H24" s="4" t="n">
        <f aca="false">SUM(H25)</f>
        <v>11389.51</v>
      </c>
      <c r="I24" s="4" t="n">
        <f aca="false">SUM(I25)</f>
        <v>0</v>
      </c>
      <c r="J24" s="4" t="n">
        <f aca="false">SUM(J25)</f>
        <v>42221.03</v>
      </c>
      <c r="K24" s="4" t="n">
        <f aca="false">SUM(K25)</f>
        <v>9471.5</v>
      </c>
      <c r="L24" s="4" t="n">
        <f aca="false">SUM(L25)</f>
        <v>20861.01</v>
      </c>
    </row>
    <row r="25" customFormat="false" ht="15" hidden="false" customHeight="false" outlineLevel="0" collapsed="false">
      <c r="A25" s="2" t="s">
        <v>16</v>
      </c>
      <c r="B25" s="5" t="n">
        <v>51692.53</v>
      </c>
      <c r="C25" s="5"/>
      <c r="D25" s="5"/>
      <c r="E25" s="5"/>
      <c r="F25" s="5" t="n">
        <f aca="false">B25+C25-D25+E25</f>
        <v>51692.53</v>
      </c>
      <c r="G25" s="5" t="n">
        <v>30831.52</v>
      </c>
      <c r="H25" s="5" t="n">
        <v>11389.51</v>
      </c>
      <c r="I25" s="5"/>
      <c r="J25" s="5" t="n">
        <f aca="false">G25+H25-I25</f>
        <v>42221.03</v>
      </c>
      <c r="K25" s="5" t="n">
        <f aca="false">F25-J25</f>
        <v>9471.5</v>
      </c>
      <c r="L25" s="5" t="n">
        <f aca="false">B25-G25</f>
        <v>20861.01</v>
      </c>
    </row>
    <row r="26" customFormat="false" ht="15" hidden="false" customHeight="false" outlineLevel="0" collapsed="false">
      <c r="A26" s="1" t="s">
        <v>17</v>
      </c>
      <c r="B26" s="4" t="n">
        <f aca="false">SUM(B27:B30)</f>
        <v>659788.62</v>
      </c>
      <c r="C26" s="4" t="n">
        <f aca="false">SUM(C27:C30)</f>
        <v>261544.31</v>
      </c>
      <c r="D26" s="4" t="n">
        <f aca="false">SUM(D27:D30)</f>
        <v>23190.78</v>
      </c>
      <c r="E26" s="4" t="n">
        <f aca="false">SUM(E27:E30)</f>
        <v>0</v>
      </c>
      <c r="F26" s="4" t="n">
        <f aca="false">SUM(F27:F30)</f>
        <v>898142.15</v>
      </c>
      <c r="G26" s="4" t="n">
        <f aca="false">SUM(G27:G30)</f>
        <v>502433.04</v>
      </c>
      <c r="H26" s="4" t="n">
        <f aca="false">SUM(H27:H30)</f>
        <v>32021.16</v>
      </c>
      <c r="I26" s="4" t="n">
        <f aca="false">SUM(I27:I30)</f>
        <v>5797.7</v>
      </c>
      <c r="J26" s="4" t="n">
        <f aca="false">SUM(J27:J30)</f>
        <v>528656.5</v>
      </c>
      <c r="K26" s="4" t="n">
        <f aca="false">SUM(K27:K30)</f>
        <v>369485.65</v>
      </c>
      <c r="L26" s="4" t="n">
        <f aca="false">SUM(L27:L30)</f>
        <v>157355.58</v>
      </c>
    </row>
    <row r="27" customFormat="false" ht="15" hidden="false" customHeight="false" outlineLevel="0" collapsed="false">
      <c r="A27" s="2" t="s">
        <v>18</v>
      </c>
      <c r="B27" s="5" t="n">
        <v>40033.55</v>
      </c>
      <c r="C27" s="5"/>
      <c r="D27" s="5"/>
      <c r="E27" s="5"/>
      <c r="F27" s="5" t="n">
        <f aca="false">B27+C27-D27+E27</f>
        <v>40033.55</v>
      </c>
      <c r="G27" s="5"/>
      <c r="H27" s="5"/>
      <c r="I27" s="5"/>
      <c r="J27" s="5" t="n">
        <f aca="false">G27+H27-I27</f>
        <v>0</v>
      </c>
      <c r="K27" s="5" t="n">
        <f aca="false">F27-J27</f>
        <v>40033.55</v>
      </c>
      <c r="L27" s="5" t="n">
        <f aca="false">B27-G27</f>
        <v>40033.55</v>
      </c>
    </row>
    <row r="28" customFormat="false" ht="15" hidden="false" customHeight="false" outlineLevel="0" collapsed="false">
      <c r="A28" s="2" t="s">
        <v>19</v>
      </c>
      <c r="B28" s="5" t="n">
        <v>422134.78</v>
      </c>
      <c r="C28" s="5"/>
      <c r="D28" s="5"/>
      <c r="E28" s="5"/>
      <c r="F28" s="5" t="n">
        <f aca="false">B28+C28-D28+E28</f>
        <v>422134.78</v>
      </c>
      <c r="G28" s="5" t="n">
        <v>400093.62</v>
      </c>
      <c r="H28" s="5" t="n">
        <v>9648.93</v>
      </c>
      <c r="I28" s="5"/>
      <c r="J28" s="5" t="n">
        <f aca="false">G28+H28-I28</f>
        <v>409742.55</v>
      </c>
      <c r="K28" s="5" t="n">
        <f aca="false">F28-J28</f>
        <v>12392.23</v>
      </c>
      <c r="L28" s="5" t="n">
        <f aca="false">B28-G28</f>
        <v>22041.16</v>
      </c>
    </row>
    <row r="29" customFormat="false" ht="15" hidden="false" customHeight="false" outlineLevel="0" collapsed="false">
      <c r="A29" s="2" t="s">
        <v>20</v>
      </c>
      <c r="B29" s="5" t="n">
        <v>197620.29</v>
      </c>
      <c r="C29" s="5" t="n">
        <f aca="false">38324+1531.06</f>
        <v>39855.06</v>
      </c>
      <c r="D29" s="5" t="n">
        <v>23190.78</v>
      </c>
      <c r="E29" s="5"/>
      <c r="F29" s="5" t="n">
        <f aca="false">B29+C29-D29+E29</f>
        <v>214284.57</v>
      </c>
      <c r="G29" s="5" t="n">
        <v>102339.42</v>
      </c>
      <c r="H29" s="5" t="n">
        <f aca="false">19949.21+891.96+1531.06</f>
        <v>22372.23</v>
      </c>
      <c r="I29" s="5" t="n">
        <v>5797.7</v>
      </c>
      <c r="J29" s="5" t="n">
        <f aca="false">G29+H29-I29</f>
        <v>118913.95</v>
      </c>
      <c r="K29" s="5" t="n">
        <f aca="false">F29-J29</f>
        <v>95370.62</v>
      </c>
      <c r="L29" s="5" t="n">
        <f aca="false">B29-G29</f>
        <v>95280.87</v>
      </c>
    </row>
    <row r="30" customFormat="false" ht="15" hidden="false" customHeight="false" outlineLevel="0" collapsed="false">
      <c r="A30" s="2" t="s">
        <v>21</v>
      </c>
      <c r="B30" s="5"/>
      <c r="C30" s="5" t="n">
        <v>221689.25</v>
      </c>
      <c r="D30" s="5"/>
      <c r="E30" s="5"/>
      <c r="F30" s="5" t="n">
        <f aca="false">B30+C30-D30+E30</f>
        <v>221689.25</v>
      </c>
      <c r="G30" s="5"/>
      <c r="H30" s="5"/>
      <c r="I30" s="5"/>
      <c r="J30" s="5" t="n">
        <f aca="false">G30+H30-I30</f>
        <v>0</v>
      </c>
      <c r="K30" s="5" t="n">
        <f aca="false">F30-J30</f>
        <v>221689.25</v>
      </c>
      <c r="L30" s="5" t="n">
        <f aca="false">B30-G30</f>
        <v>0</v>
      </c>
    </row>
    <row r="31" customFormat="false" ht="15" hidden="false" customHeight="false" outlineLevel="0" collapsed="false">
      <c r="A31" s="1" t="s">
        <v>22</v>
      </c>
      <c r="B31" s="4" t="n">
        <f aca="false">SUM(B32)</f>
        <v>314698.42</v>
      </c>
      <c r="C31" s="4" t="n">
        <f aca="false">SUM(C32)</f>
        <v>0</v>
      </c>
      <c r="D31" s="4" t="n">
        <f aca="false">SUM(D32)</f>
        <v>0</v>
      </c>
      <c r="E31" s="4" t="n">
        <f aca="false">SUM(E32)</f>
        <v>0</v>
      </c>
      <c r="F31" s="4" t="n">
        <f aca="false">SUM(F32)</f>
        <v>314698.42</v>
      </c>
      <c r="G31" s="4" t="n">
        <f aca="false">SUM(G32)</f>
        <v>26697.38</v>
      </c>
      <c r="H31" s="4" t="n">
        <f aca="false">SUM(H32)</f>
        <v>0</v>
      </c>
      <c r="I31" s="4" t="n">
        <f aca="false">SUM(I32)</f>
        <v>0</v>
      </c>
      <c r="J31" s="4" t="n">
        <f aca="false">SUM(J32)</f>
        <v>26697.38</v>
      </c>
      <c r="K31" s="4" t="n">
        <f aca="false">SUM(K32)</f>
        <v>288001.04</v>
      </c>
      <c r="L31" s="4" t="n">
        <f aca="false">SUM(L32)</f>
        <v>288001.04</v>
      </c>
    </row>
    <row r="32" customFormat="false" ht="15" hidden="false" customHeight="false" outlineLevel="0" collapsed="false">
      <c r="A32" s="2" t="s">
        <v>23</v>
      </c>
      <c r="B32" s="5" t="n">
        <v>314698.42</v>
      </c>
      <c r="C32" s="5"/>
      <c r="D32" s="5"/>
      <c r="E32" s="5"/>
      <c r="F32" s="5" t="n">
        <f aca="false">B32+C32-D32+E32</f>
        <v>314698.42</v>
      </c>
      <c r="G32" s="5" t="n">
        <v>26697.38</v>
      </c>
      <c r="H32" s="5"/>
      <c r="I32" s="5"/>
      <c r="J32" s="5" t="n">
        <f aca="false">G32+H32-I32</f>
        <v>26697.38</v>
      </c>
      <c r="K32" s="5" t="n">
        <f aca="false">F32-J32</f>
        <v>288001.04</v>
      </c>
      <c r="L32" s="5" t="n">
        <f aca="false">B32-G32</f>
        <v>288001.04</v>
      </c>
    </row>
  </sheetData>
  <printOptions headings="false" gridLines="false" gridLinesSet="true" horizontalCentered="false" verticalCentered="false"/>
  <pageMargins left="0.75" right="0.75" top="1" bottom="1" header="0.5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&amp;LSoringrod Logistik GmbH Co. KG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2026-01-01T00:00:00Z</dcterms:created>
  <dc:creator>openpyxl</dc:creator>
  <dc:description/>
  <dc:language>en-US</dc:language>
  <cp:lastModifiedBy/>
  <dcterms:modified xsi:type="dcterms:W3CDTF">2026-01-01T00:00:00Z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