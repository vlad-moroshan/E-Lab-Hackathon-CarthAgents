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1" sheetId="1" state="visible" r:id="rId3"/>
    <sheet name="Tabelle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T. Orlibrunn</author>
  </authors>
  <commentList>
    <comment ref="C30" authorId="0">
      <text>
        <r>
          <rPr>
            <sz val="10"/>
            <rFont val="Arial"/>
            <family val="2"/>
          </rPr>
          <t xml:space="preserve">Rundungsdifferenz aus dem Vorjahres-Gitter, nicht wesentlich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2</xdr:rowOff>
              </xdr:from>
              <xdr:to>
                <xdr:col>2</xdr:col>
                <xdr:colOff>-199</xdr:colOff>
                <xdr:row>4</xdr:row>
                <xdr:rowOff>1</xdr:rowOff>
              </xdr:to>
            </anchor>
          </commentPr>
        </mc:Choice>
        <mc:Fallback/>
      </mc:AlternateContent>
    </comment>
    <comment ref="S4" authorId="0">
      <text>
        <r>
          <rPr>
            <sz val="10"/>
            <rFont val="Arial"/>
            <family val="2"/>
          </rPr>
          <t xml:space="preserve">Werte aus Bilanz-Entwurf vom 14.02.2026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2</xdr:rowOff>
              </xdr:from>
              <xdr:to>
                <xdr:col>2</xdr:col>
                <xdr:colOff>-199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<sst xmlns="http://schemas.openxmlformats.org/spreadsheetml/2006/main" count="89" uniqueCount="48">
  <si>
    <t xml:space="preserve">Entwicklung des Anlagevermögens</t>
  </si>
  <si>
    <t xml:space="preserve">Wirtschaftsjahr vom 01.01.2025 bis 31.12.2025</t>
  </si>
  <si>
    <t xml:space="preserve">Anschaffungs- und Herstellungskosten</t>
  </si>
  <si>
    <t xml:space="preserve">kumulierte Abschreibungen</t>
  </si>
  <si>
    <t xml:space="preserve">Buchwerte</t>
  </si>
  <si>
    <t xml:space="preserve">lt. Bilanz</t>
  </si>
  <si>
    <t xml:space="preserve">Differenz</t>
  </si>
  <si>
    <t xml:space="preserve">Zugänge</t>
  </si>
  <si>
    <t xml:space="preserve">Abgänge</t>
  </si>
  <si>
    <t xml:space="preserve">Umbuchungen</t>
  </si>
  <si>
    <t xml:space="preserve">Zugänge lt. Entwurf</t>
  </si>
  <si>
    <t xml:space="preserve">(aus Bilanz)</t>
  </si>
  <si>
    <t xml:space="preserve">EUR</t>
  </si>
  <si>
    <t xml:space="preserve">I.</t>
  </si>
  <si>
    <t xml:space="preserve">Immaterielle Vermögensgegenstände</t>
  </si>
  <si>
    <t xml:space="preserve">2.</t>
  </si>
  <si>
    <t xml:space="preserve">Entgeltlich erworbene Konzessionen und Lizenzen</t>
  </si>
  <si>
    <t xml:space="preserve">II.</t>
  </si>
  <si>
    <t xml:space="preserve">Sachanlagen</t>
  </si>
  <si>
    <t xml:space="preserve">1.</t>
  </si>
  <si>
    <t xml:space="preserve">Grundstücke, grundstücksgleiche Rechte und Bauten</t>
  </si>
  <si>
    <t xml:space="preserve">Technische Anlagen und Maschinen</t>
  </si>
  <si>
    <t xml:space="preserve">3.</t>
  </si>
  <si>
    <t xml:space="preserve">Andere Anlagen, Betriebs- und Geschäftsausstattung</t>
  </si>
  <si>
    <t xml:space="preserve">4.</t>
  </si>
  <si>
    <t xml:space="preserve">Geleistete Anzahlungen und Anlagen im Bau</t>
  </si>
  <si>
    <t xml:space="preserve">III.</t>
  </si>
  <si>
    <t xml:space="preserve">Finanzanlagen</t>
  </si>
  <si>
    <t xml:space="preserve">Beteiligungen</t>
  </si>
  <si>
    <t xml:space="preserve">Abstimmung Vorjahreswerte</t>
  </si>
  <si>
    <t xml:space="preserve">AHK 01.01.2025 lt. Anlagengitter Vorjahr (AV 2)</t>
  </si>
  <si>
    <t xml:space="preserve">kum. Abschreibungen 01.01.2025 lt. Anlagengitter Vorjahr (AV 2)</t>
  </si>
  <si>
    <t xml:space="preserve">Abstimmung aktuelle Werte Anlagegitter</t>
  </si>
  <si>
    <t xml:space="preserve">Zugänge lt. Anlagegitter</t>
  </si>
  <si>
    <t xml:space="preserve">Abgänge lt. Anlagegitter</t>
  </si>
  <si>
    <t xml:space="preserve">Abschreibungen lt. Anlagegitter</t>
  </si>
  <si>
    <t xml:space="preserve">Bearbeitungsstand 21.02.2026: Werte lt. vorläufiger Bilanz</t>
  </si>
  <si>
    <t xml:space="preserve">Differenz Zugänge: GWG-Sammelposten im Anlagegitter nicht enthalten</t>
  </si>
  <si>
    <t xml:space="preserve">Wirtschaftsjahr vom 01.01.2024 bis 31.12.2024</t>
  </si>
  <si>
    <t xml:space="preserve">I. Immaterielle Vermögensgegenstände</t>
  </si>
  <si>
    <t xml:space="preserve">2. Entgeltlich erworbene Konzessionen und Lizenzen</t>
  </si>
  <si>
    <t xml:space="preserve">II. Sachanlagen</t>
  </si>
  <si>
    <t xml:space="preserve">1. Grundstücke, grundstücksgleiche Rechte und Bauten</t>
  </si>
  <si>
    <t xml:space="preserve">2. Technische Anlagen und Maschinen</t>
  </si>
  <si>
    <t xml:space="preserve">3. Andere Anlagen, Betriebs- und Geschäftsausstattung</t>
  </si>
  <si>
    <t xml:space="preserve">4. Geleistete Anzahlungen und Anlagen im Bau</t>
  </si>
  <si>
    <t xml:space="preserve">III. Finanzanlagen</t>
  </si>
  <si>
    <t xml:space="preserve">3. Beteiligungen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</si>
</sst>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6" min="3" style="0" width="16"/>
    <col collapsed="false" customWidth="true" hidden="true" outlineLevel="0" max="7" min="7" style="0" width="2"/>
    <col collapsed="false" customWidth="true" hidden="false" outlineLevel="0" max="8" min="8" style="0" width="16"/>
    <col collapsed="false" customWidth="true" hidden="false" outlineLevel="0" max="9" min="9" style="0" width="2"/>
    <col collapsed="false" customWidth="true" hidden="false" outlineLevel="0" max="13" min="10" style="0" width="16"/>
    <col collapsed="false" customWidth="true" hidden="false" outlineLevel="0" max="14" min="14" style="0" width="2"/>
    <col collapsed="false" customWidth="true" hidden="false" outlineLevel="0" max="16" min="15" style="0" width="16"/>
    <col collapsed="false" customWidth="true" hidden="false" outlineLevel="0" max="18" min="17" style="0" width="2"/>
    <col collapsed="false" customWidth="true" hidden="false" outlineLevel="0" max="20" min="19" style="0" width="16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1" t="s">
        <v>1</v>
      </c>
    </row>
    <row r="4" customFormat="false" ht="15" hidden="false" customHeight="false" outlineLevel="0" collapsed="false">
      <c r="A4" s="2"/>
      <c r="C4" s="3" t="s">
        <v>2</v>
      </c>
      <c r="D4" s="3"/>
      <c r="E4" s="3"/>
      <c r="F4" s="3"/>
      <c r="G4" s="3"/>
      <c r="H4" s="3"/>
      <c r="I4" s="2"/>
      <c r="J4" s="3" t="s">
        <v>3</v>
      </c>
      <c r="K4" s="3"/>
      <c r="L4" s="3"/>
      <c r="M4" s="3"/>
      <c r="N4" s="2"/>
      <c r="O4" s="3" t="s">
        <v>4</v>
      </c>
      <c r="P4" s="3"/>
      <c r="Q4" s="2"/>
      <c r="S4" s="1" t="s">
        <v>5</v>
      </c>
      <c r="T4" s="1" t="s">
        <v>6</v>
      </c>
    </row>
    <row r="5" customFormat="false" ht="15" hidden="false" customHeight="false" outlineLevel="0" collapsed="false">
      <c r="A5" s="2"/>
      <c r="B5" s="2"/>
      <c r="C5" s="4" t="n">
        <v>45658</v>
      </c>
      <c r="D5" s="2" t="s">
        <v>7</v>
      </c>
      <c r="E5" s="2" t="s">
        <v>8</v>
      </c>
      <c r="F5" s="2" t="s">
        <v>9</v>
      </c>
      <c r="G5" s="2" t="s">
        <v>10</v>
      </c>
      <c r="H5" s="4" t="n">
        <v>46022</v>
      </c>
      <c r="I5" s="2"/>
      <c r="J5" s="4" t="n">
        <f aca="false">C5</f>
        <v>45658</v>
      </c>
      <c r="K5" s="2" t="s">
        <v>7</v>
      </c>
      <c r="L5" s="2" t="s">
        <v>8</v>
      </c>
      <c r="M5" s="4" t="n">
        <f aca="false">H5</f>
        <v>46022</v>
      </c>
      <c r="N5" s="2"/>
      <c r="O5" s="4" t="n">
        <f aca="false">H5</f>
        <v>46022</v>
      </c>
      <c r="P5" s="4" t="n">
        <v>45657</v>
      </c>
      <c r="Q5" s="2"/>
      <c r="R5" s="2"/>
      <c r="S5" s="2" t="s">
        <v>11</v>
      </c>
      <c r="T5" s="2"/>
    </row>
    <row r="6" customFormat="false" ht="15" hidden="false" customHeight="false" outlineLevel="0" collapsed="false">
      <c r="A6" s="2"/>
      <c r="B6" s="2"/>
      <c r="C6" s="5" t="s">
        <v>12</v>
      </c>
      <c r="D6" s="5" t="s">
        <v>12</v>
      </c>
      <c r="E6" s="5" t="s">
        <v>12</v>
      </c>
      <c r="F6" s="5" t="s">
        <v>12</v>
      </c>
      <c r="G6" s="2"/>
      <c r="H6" s="5" t="s">
        <v>12</v>
      </c>
      <c r="I6" s="2"/>
      <c r="J6" s="5" t="s">
        <v>12</v>
      </c>
      <c r="K6" s="5" t="s">
        <v>12</v>
      </c>
      <c r="L6" s="5" t="s">
        <v>12</v>
      </c>
      <c r="M6" s="5" t="s">
        <v>12</v>
      </c>
      <c r="N6" s="2"/>
      <c r="O6" s="5" t="s">
        <v>12</v>
      </c>
      <c r="P6" s="5" t="s">
        <v>12</v>
      </c>
      <c r="Q6" s="2"/>
      <c r="R6" s="2"/>
      <c r="S6" s="5" t="s">
        <v>12</v>
      </c>
      <c r="T6" s="5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10" customFormat="false" ht="15" hidden="false" customHeight="false" outlineLevel="0" collapsed="false">
      <c r="A10" s="2" t="s">
        <v>15</v>
      </c>
      <c r="B10" s="2" t="s">
        <v>16</v>
      </c>
      <c r="C10" s="6" t="n">
        <v>86614.61</v>
      </c>
      <c r="D10" s="6" t="n">
        <v>2911</v>
      </c>
      <c r="E10" s="6"/>
      <c r="F10" s="6"/>
      <c r="G10" s="7" t="n">
        <v>1411</v>
      </c>
      <c r="H10" s="6" t="n">
        <f aca="false">C10+D10-E10+F10</f>
        <v>89525.61</v>
      </c>
      <c r="I10" s="2"/>
      <c r="J10" s="6" t="n">
        <v>86611.61</v>
      </c>
      <c r="K10" s="6" t="n">
        <v>727.75</v>
      </c>
      <c r="L10" s="6"/>
      <c r="M10" s="6" t="n">
        <f aca="false">J10+K10-L10</f>
        <v>87339.36</v>
      </c>
      <c r="N10" s="2"/>
      <c r="O10" s="6" t="n">
        <f aca="false">H10-M10</f>
        <v>2186.25</v>
      </c>
      <c r="P10" s="6" t="n">
        <f aca="false">C10-J10</f>
        <v>3</v>
      </c>
      <c r="Q10" s="2"/>
      <c r="R10" s="2"/>
      <c r="S10" s="6" t="n">
        <v>2186.25</v>
      </c>
      <c r="T10" s="6" t="n">
        <f aca="false">S10-O10</f>
        <v>0</v>
      </c>
    </row>
    <row r="11" customFormat="false" ht="15" hidden="false" customHeight="false" outlineLevel="0" collapsed="false">
      <c r="A11" s="2"/>
      <c r="B11" s="2"/>
      <c r="C11" s="7" t="n">
        <f aca="false">SUM(C10)</f>
        <v>86614.61</v>
      </c>
      <c r="D11" s="7" t="n">
        <f aca="false">SUM(D10)</f>
        <v>2911</v>
      </c>
      <c r="E11" s="7" t="n">
        <f aca="false">SUM(E10)</f>
        <v>0</v>
      </c>
      <c r="F11" s="7" t="n">
        <f aca="false">SUM(F10)</f>
        <v>0</v>
      </c>
      <c r="G11" s="7" t="n">
        <f aca="false">SUM(G10)</f>
        <v>1411</v>
      </c>
      <c r="H11" s="7" t="n">
        <f aca="false">SUM(H10)</f>
        <v>89525.61</v>
      </c>
      <c r="I11" s="2"/>
      <c r="J11" s="7" t="n">
        <v>86611.61</v>
      </c>
      <c r="K11" s="7" t="n">
        <f aca="false">SUM(K10)</f>
        <v>727.75</v>
      </c>
      <c r="L11" s="7" t="n">
        <f aca="false">SUM(L10)</f>
        <v>0</v>
      </c>
      <c r="M11" s="7" t="n">
        <f aca="false">SUM(M10)</f>
        <v>87339.36</v>
      </c>
      <c r="N11" s="2"/>
      <c r="O11" s="7" t="n">
        <f aca="false">SUM(O10)</f>
        <v>2186.25</v>
      </c>
      <c r="P11" s="7" t="n">
        <f aca="false">SUM(P10)</f>
        <v>3</v>
      </c>
      <c r="Q11" s="2"/>
      <c r="R11" s="2"/>
      <c r="S11" s="7" t="n">
        <f aca="false">SUM(S10)</f>
        <v>2186.25</v>
      </c>
      <c r="T11" s="7" t="n">
        <f aca="false">S11-O11</f>
        <v>0</v>
      </c>
    </row>
    <row r="13" customFormat="false" ht="15" hidden="false" customHeight="false" outlineLevel="0" collapsed="false">
      <c r="A13" s="1" t="s">
        <v>17</v>
      </c>
      <c r="B13" s="1" t="s">
        <v>18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5" customFormat="false" ht="15" hidden="false" customHeight="false" outlineLevel="0" collapsed="false">
      <c r="A15" s="2" t="s">
        <v>19</v>
      </c>
      <c r="B15" s="2" t="s">
        <v>20</v>
      </c>
      <c r="C15" s="6" t="n">
        <v>402646.62</v>
      </c>
      <c r="D15" s="6"/>
      <c r="E15" s="6"/>
      <c r="F15" s="6"/>
      <c r="G15" s="7" t="n">
        <v>0</v>
      </c>
      <c r="H15" s="6" t="n">
        <f aca="false">C15+D15-E15+F15</f>
        <v>402646.62</v>
      </c>
      <c r="I15" s="2"/>
      <c r="J15" s="6"/>
      <c r="K15" s="6"/>
      <c r="L15" s="6"/>
      <c r="M15" s="6" t="n">
        <f aca="false">J15+K15-L15</f>
        <v>0</v>
      </c>
      <c r="N15" s="2"/>
      <c r="O15" s="6" t="n">
        <f aca="false">H15-M15</f>
        <v>402646.62</v>
      </c>
      <c r="P15" s="6" t="n">
        <f aca="false">C15-J15</f>
        <v>402646.62</v>
      </c>
      <c r="Q15" s="2"/>
      <c r="R15" s="2"/>
      <c r="S15" s="6" t="n">
        <v>402646.62</v>
      </c>
      <c r="T15" s="6" t="n">
        <f aca="false">S15-O15</f>
        <v>0</v>
      </c>
    </row>
    <row r="16" customFormat="false" ht="15" hidden="false" customHeight="false" outlineLevel="0" collapsed="false">
      <c r="A16" s="2" t="s">
        <v>15</v>
      </c>
      <c r="B16" s="2" t="s">
        <v>21</v>
      </c>
      <c r="C16" s="6" t="n">
        <v>628379.16</v>
      </c>
      <c r="D16" s="6"/>
      <c r="E16" s="6" t="n">
        <v>103647</v>
      </c>
      <c r="F16" s="6" t="n">
        <v>317256.14</v>
      </c>
      <c r="G16" s="7" t="n">
        <v>0</v>
      </c>
      <c r="H16" s="6" t="n">
        <f aca="false">C16+D16-E16+F16</f>
        <v>841988.3</v>
      </c>
      <c r="I16" s="2"/>
      <c r="J16" s="6" t="n">
        <v>470598.18</v>
      </c>
      <c r="K16" s="6" t="n">
        <v>70300.52</v>
      </c>
      <c r="L16" s="6" t="n">
        <v>103646</v>
      </c>
      <c r="M16" s="6" t="n">
        <f aca="false">J16+K16-L16</f>
        <v>437252.7</v>
      </c>
      <c r="N16" s="2"/>
      <c r="O16" s="6" t="n">
        <f aca="false">H16-M16</f>
        <v>404735.6</v>
      </c>
      <c r="P16" s="6" t="n">
        <f aca="false">C16-J16</f>
        <v>157780.98</v>
      </c>
      <c r="Q16" s="2"/>
      <c r="R16" s="2"/>
      <c r="S16" s="6" t="n">
        <v>404735.6</v>
      </c>
      <c r="T16" s="6" t="n">
        <f aca="false">S16-O16</f>
        <v>0</v>
      </c>
    </row>
    <row r="17" customFormat="false" ht="15" hidden="false" customHeight="false" outlineLevel="0" collapsed="false">
      <c r="A17" s="2" t="s">
        <v>22</v>
      </c>
      <c r="B17" s="2" t="s">
        <v>23</v>
      </c>
      <c r="C17" s="6" t="n">
        <v>147545.29</v>
      </c>
      <c r="D17" s="6" t="n">
        <f aca="false">79711+18469.43+1308.96</f>
        <v>99489.39</v>
      </c>
      <c r="E17" s="6"/>
      <c r="F17" s="6"/>
      <c r="G17" s="7" t="n">
        <v>99489.39</v>
      </c>
      <c r="H17" s="6" t="n">
        <f aca="false">C17+D17-E17+F17</f>
        <v>247034.68</v>
      </c>
      <c r="I17" s="2"/>
      <c r="J17" s="6" t="n">
        <v>145697.87</v>
      </c>
      <c r="K17" s="6" t="n">
        <f aca="false">8276.22+1458.2+1308.96</f>
        <v>11043.38</v>
      </c>
      <c r="L17" s="6"/>
      <c r="M17" s="6" t="n">
        <f aca="false">J17+K17-L17</f>
        <v>156741.25</v>
      </c>
      <c r="N17" s="2"/>
      <c r="O17" s="6" t="n">
        <f aca="false">H17-M17</f>
        <v>90293.43</v>
      </c>
      <c r="P17" s="6" t="n">
        <f aca="false">C17-J17</f>
        <v>1847.42000000001</v>
      </c>
      <c r="Q17" s="2"/>
      <c r="R17" s="2"/>
      <c r="S17" s="6" t="n">
        <v>90293.4300000001</v>
      </c>
      <c r="T17" s="6" t="n">
        <f aca="false">S17-O17</f>
        <v>0</v>
      </c>
    </row>
    <row r="18" customFormat="false" ht="15" hidden="false" customHeight="false" outlineLevel="0" collapsed="false">
      <c r="A18" s="2" t="s">
        <v>24</v>
      </c>
      <c r="B18" s="2" t="s">
        <v>25</v>
      </c>
      <c r="C18" s="6" t="n">
        <v>28234.89</v>
      </c>
      <c r="D18" s="6" t="n">
        <v>357764.99</v>
      </c>
      <c r="E18" s="6"/>
      <c r="F18" s="6" t="n">
        <v>-317256.14</v>
      </c>
      <c r="G18" s="7" t="n">
        <v>357764.99</v>
      </c>
      <c r="H18" s="6" t="n">
        <f aca="false">C18+D18-E18+F18</f>
        <v>68743.74</v>
      </c>
      <c r="I18" s="2"/>
      <c r="J18" s="6"/>
      <c r="K18" s="6"/>
      <c r="L18" s="6"/>
      <c r="M18" s="6" t="n">
        <f aca="false">J18+K18-L18</f>
        <v>0</v>
      </c>
      <c r="N18" s="2"/>
      <c r="O18" s="6" t="n">
        <f aca="false">H18-M18</f>
        <v>68743.74</v>
      </c>
      <c r="P18" s="6" t="n">
        <f aca="false">C18-J18</f>
        <v>28234.89</v>
      </c>
      <c r="Q18" s="2"/>
      <c r="R18" s="2"/>
      <c r="S18" s="6" t="n">
        <v>68743.74</v>
      </c>
      <c r="T18" s="6" t="n">
        <f aca="false">S18-O18</f>
        <v>0</v>
      </c>
    </row>
    <row r="19" customFormat="false" ht="15" hidden="false" customHeight="false" outlineLevel="0" collapsed="false">
      <c r="A19" s="2"/>
      <c r="B19" s="2"/>
      <c r="C19" s="7" t="n">
        <f aca="false">SUM(C14:C18)</f>
        <v>1206805.96</v>
      </c>
      <c r="D19" s="7" t="n">
        <f aca="false">SUM(D14:D18)</f>
        <v>457254.38</v>
      </c>
      <c r="E19" s="7" t="n">
        <f aca="false">SUM(E14:E18)</f>
        <v>103647</v>
      </c>
      <c r="F19" s="7" t="n">
        <f aca="false">SUM(F14:F18)</f>
        <v>0</v>
      </c>
      <c r="G19" s="7" t="n">
        <f aca="false">SUM(G15:G18)</f>
        <v>457254.38</v>
      </c>
      <c r="H19" s="7" t="n">
        <f aca="false">SUM(H14:H18)</f>
        <v>1560413.34</v>
      </c>
      <c r="I19" s="2"/>
      <c r="J19" s="7" t="n">
        <f aca="false">SUM(J14:J18)</f>
        <v>616296.05</v>
      </c>
      <c r="K19" s="7" t="n">
        <f aca="false">SUM(K14:K18)</f>
        <v>81343.9</v>
      </c>
      <c r="L19" s="7" t="n">
        <f aca="false">SUM(L14:L18)</f>
        <v>103646</v>
      </c>
      <c r="M19" s="7" t="n">
        <f aca="false">SUM(M14:M18)</f>
        <v>593993.95</v>
      </c>
      <c r="N19" s="2"/>
      <c r="O19" s="7" t="n">
        <f aca="false">SUM(O14:O18)</f>
        <v>966419.39</v>
      </c>
      <c r="P19" s="7" t="n">
        <f aca="false">SUM(P14:P18)</f>
        <v>590509.91</v>
      </c>
      <c r="Q19" s="2"/>
      <c r="R19" s="2"/>
      <c r="S19" s="7" t="n">
        <f aca="false">SUM(S14:S18)</f>
        <v>966419.39</v>
      </c>
      <c r="T19" s="7" t="n">
        <f aca="false">S19-O19</f>
        <v>0</v>
      </c>
    </row>
    <row r="21" customFormat="false" ht="15" hidden="false" customHeight="false" outlineLevel="0" collapsed="false">
      <c r="A21" s="1" t="s">
        <v>26</v>
      </c>
      <c r="B21" s="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3" customFormat="false" ht="15" hidden="false" customHeight="false" outlineLevel="0" collapsed="false">
      <c r="A23" s="2" t="s">
        <v>22</v>
      </c>
      <c r="B23" s="2" t="s">
        <v>28</v>
      </c>
      <c r="C23" s="6" t="n">
        <v>146631.19</v>
      </c>
      <c r="D23" s="6"/>
      <c r="E23" s="6"/>
      <c r="F23" s="6"/>
      <c r="G23" s="7" t="n">
        <v>0</v>
      </c>
      <c r="H23" s="6" t="n">
        <f aca="false">C23+D23-E23+F23</f>
        <v>146631.19</v>
      </c>
      <c r="I23" s="2"/>
      <c r="J23" s="6" t="n">
        <v>763.65</v>
      </c>
      <c r="K23" s="6"/>
      <c r="L23" s="6"/>
      <c r="M23" s="6" t="n">
        <f aca="false">J23+K23-L23</f>
        <v>763.65</v>
      </c>
      <c r="N23" s="2"/>
      <c r="O23" s="6" t="n">
        <f aca="false">H23-M23</f>
        <v>145867.54</v>
      </c>
      <c r="P23" s="6" t="n">
        <f aca="false">C23-J23</f>
        <v>145867.54</v>
      </c>
      <c r="Q23" s="2"/>
      <c r="R23" s="2"/>
      <c r="S23" s="6" t="n">
        <v>145867.54</v>
      </c>
      <c r="T23" s="6" t="n">
        <f aca="false">S23-O23</f>
        <v>0</v>
      </c>
    </row>
    <row r="24" customFormat="false" ht="15" hidden="false" customHeight="false" outlineLevel="0" collapsed="false">
      <c r="A24" s="2"/>
      <c r="B24" s="2"/>
      <c r="C24" s="7" t="n">
        <f aca="false">SUM(C23)</f>
        <v>146631.19</v>
      </c>
      <c r="D24" s="7" t="n">
        <f aca="false">SUM(D23)</f>
        <v>0</v>
      </c>
      <c r="E24" s="7" t="n">
        <f aca="false">SUM(E23)</f>
        <v>0</v>
      </c>
      <c r="F24" s="7" t="n">
        <f aca="false">SUM(F23)</f>
        <v>0</v>
      </c>
      <c r="G24" s="7" t="n">
        <f aca="false">SUM(G23)</f>
        <v>0</v>
      </c>
      <c r="H24" s="7" t="n">
        <f aca="false">SUM(H23)</f>
        <v>146631.19</v>
      </c>
      <c r="I24" s="2"/>
      <c r="J24" s="7" t="n">
        <f aca="false">SUM(J23)</f>
        <v>763.65</v>
      </c>
      <c r="K24" s="7" t="n">
        <f aca="false">SUM(K23)</f>
        <v>0</v>
      </c>
      <c r="L24" s="7" t="n">
        <f aca="false">SUM(L23)</f>
        <v>0</v>
      </c>
      <c r="M24" s="7" t="n">
        <f aca="false">SUM(M23)</f>
        <v>763.65</v>
      </c>
      <c r="N24" s="2"/>
      <c r="O24" s="7" t="n">
        <f aca="false">SUM(O23)</f>
        <v>145867.54</v>
      </c>
      <c r="P24" s="7" t="n">
        <f aca="false">SUM(P23)</f>
        <v>145867.54</v>
      </c>
      <c r="Q24" s="2"/>
      <c r="R24" s="2"/>
      <c r="S24" s="7" t="n">
        <f aca="false">SUM(S23)</f>
        <v>145867.54</v>
      </c>
      <c r="T24" s="7" t="n">
        <f aca="false">S24-O24</f>
        <v>0</v>
      </c>
    </row>
    <row r="26" customFormat="false" ht="15" hidden="false" customHeight="false" outlineLevel="0" collapsed="false">
      <c r="A26" s="2"/>
      <c r="B26" s="2"/>
      <c r="C26" s="8" t="n">
        <f aca="false">C11+C19+C24</f>
        <v>1440051.76</v>
      </c>
      <c r="D26" s="8" t="n">
        <f aca="false">D11+D19+D24</f>
        <v>460165.38</v>
      </c>
      <c r="E26" s="8" t="n">
        <f aca="false">E11+E19+E24</f>
        <v>103647</v>
      </c>
      <c r="F26" s="8" t="n">
        <f aca="false">F11+F19+F24</f>
        <v>0</v>
      </c>
      <c r="G26" s="7" t="n">
        <f aca="false">G11+G19+G24</f>
        <v>458665.38</v>
      </c>
      <c r="H26" s="8" t="n">
        <f aca="false">H11+H19+H24</f>
        <v>1796570.14</v>
      </c>
      <c r="I26" s="2"/>
      <c r="J26" s="8" t="n">
        <f aca="false">J11+J19+J24</f>
        <v>703671.31</v>
      </c>
      <c r="K26" s="8" t="n">
        <f aca="false">K11+K19+K24</f>
        <v>82071.65</v>
      </c>
      <c r="L26" s="8" t="n">
        <f aca="false">L11+L19+L24</f>
        <v>103646</v>
      </c>
      <c r="M26" s="8" t="n">
        <f aca="false">M11+M19+M24</f>
        <v>682096.96</v>
      </c>
      <c r="N26" s="2"/>
      <c r="O26" s="8" t="n">
        <f aca="false">O11+O19+O24</f>
        <v>1114473.18</v>
      </c>
      <c r="P26" s="8" t="n">
        <f aca="false">P11+P19+P24</f>
        <v>736380.45</v>
      </c>
      <c r="Q26" s="2"/>
      <c r="R26" s="2"/>
      <c r="S26" s="8" t="n">
        <f aca="false">S11+S19+S24</f>
        <v>1114473.18</v>
      </c>
      <c r="T26" s="8" t="n">
        <f aca="false">S26-O26</f>
        <v>0</v>
      </c>
    </row>
    <row r="29" customFormat="false" ht="15" hidden="false" customHeight="false" outlineLevel="0" collapsed="false">
      <c r="B29" s="9" t="s">
        <v>29</v>
      </c>
    </row>
    <row r="30" customFormat="false" ht="15" hidden="false" customHeight="false" outlineLevel="0" collapsed="false">
      <c r="B30" s="9" t="s">
        <v>30</v>
      </c>
      <c r="C30" s="10" t="n">
        <v>1440051.73</v>
      </c>
      <c r="T30" s="11" t="n">
        <f aca="false">C30-C26</f>
        <v>-0.0300000000279397</v>
      </c>
    </row>
    <row r="31" customFormat="false" ht="15" hidden="false" customHeight="false" outlineLevel="0" collapsed="false">
      <c r="B31" s="9" t="s">
        <v>31</v>
      </c>
      <c r="J31" s="10" t="n">
        <v>703671.31</v>
      </c>
      <c r="T31" s="11" t="n">
        <f aca="false">J31-J26</f>
        <v>0</v>
      </c>
    </row>
    <row r="33" customFormat="false" ht="15" hidden="false" customHeight="false" outlineLevel="0" collapsed="false">
      <c r="B33" s="9" t="s">
        <v>32</v>
      </c>
    </row>
    <row r="34" customFormat="false" ht="15" hidden="false" customHeight="false" outlineLevel="0" collapsed="false">
      <c r="B34" s="9" t="s">
        <v>33</v>
      </c>
      <c r="D34" s="10" t="n">
        <v>458856.42</v>
      </c>
      <c r="T34" s="11" t="n">
        <f aca="false">D34-D26</f>
        <v>-1308.96000000002</v>
      </c>
    </row>
    <row r="35" customFormat="false" ht="15" hidden="false" customHeight="false" outlineLevel="0" collapsed="false">
      <c r="B35" s="9" t="s">
        <v>34</v>
      </c>
      <c r="E35" s="10" t="n">
        <v>103647</v>
      </c>
      <c r="T35" s="11" t="n">
        <f aca="false">E35-E26</f>
        <v>0</v>
      </c>
    </row>
    <row r="36" customFormat="false" ht="15" hidden="false" customHeight="false" outlineLevel="0" collapsed="false">
      <c r="B36" s="9" t="s">
        <v>35</v>
      </c>
      <c r="K36" s="10" t="n">
        <v>82071.65</v>
      </c>
      <c r="T36" s="11" t="n">
        <f aca="false">K36-K26</f>
        <v>0</v>
      </c>
    </row>
    <row r="38" customFormat="false" ht="15" hidden="false" customHeight="false" outlineLevel="0" collapsed="false">
      <c r="B38" s="9" t="s">
        <v>36</v>
      </c>
    </row>
    <row r="39" customFormat="false" ht="15" hidden="false" customHeight="false" outlineLevel="0" collapsed="false">
      <c r="B39" s="9" t="s">
        <v>37</v>
      </c>
    </row>
  </sheetData>
  <mergeCells count="3">
    <mergeCell ref="C4:H4"/>
    <mergeCell ref="J4:M4"/>
    <mergeCell ref="O4:P4"/>
  </mergeCells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&amp;LPelloswerth Fahrzeugbau KG</oddHeader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6" min="6" style="0" width="2"/>
    <col collapsed="false" customWidth="true" hidden="false" outlineLevel="0" max="7" min="7" style="0" width="16"/>
    <col collapsed="false" customWidth="true" hidden="false" outlineLevel="0" max="8" min="8" style="0" width="2"/>
    <col collapsed="false" customWidth="true" hidden="false" outlineLevel="0" max="12" min="9" style="0" width="16"/>
    <col collapsed="false" customWidth="true" hidden="false" outlineLevel="0" max="13" min="13" style="0" width="2"/>
    <col collapsed="false" customWidth="true" hidden="false" outlineLevel="0" max="15" min="14" style="0" width="16"/>
    <col collapsed="false" customWidth="true" hidden="false" outlineLevel="0" max="17" min="16" style="0" width="2"/>
    <col collapsed="false" customWidth="true" hidden="false" outlineLevel="0" max="19" min="18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38</v>
      </c>
    </row>
    <row r="4" customFormat="false" ht="15" hidden="false" customHeight="false" outlineLevel="0" collapsed="false">
      <c r="A4" s="2"/>
      <c r="B4" s="3" t="s">
        <v>2</v>
      </c>
      <c r="C4" s="3"/>
      <c r="D4" s="3"/>
      <c r="E4" s="3"/>
      <c r="F4" s="3"/>
      <c r="G4" s="3"/>
      <c r="H4" s="2"/>
      <c r="I4" s="3" t="s">
        <v>3</v>
      </c>
      <c r="J4" s="3"/>
      <c r="K4" s="3"/>
      <c r="L4" s="3"/>
      <c r="M4" s="2"/>
      <c r="N4" s="3" t="s">
        <v>4</v>
      </c>
      <c r="O4" s="3"/>
      <c r="P4" s="2"/>
      <c r="R4" s="1" t="s">
        <v>5</v>
      </c>
      <c r="S4" s="1" t="s">
        <v>6</v>
      </c>
    </row>
    <row r="5" customFormat="false" ht="15" hidden="false" customHeight="false" outlineLevel="0" collapsed="false">
      <c r="A5" s="2"/>
      <c r="B5" s="4" t="n">
        <v>45292</v>
      </c>
      <c r="C5" s="2" t="s">
        <v>7</v>
      </c>
      <c r="D5" s="2" t="s">
        <v>8</v>
      </c>
      <c r="E5" s="2" t="s">
        <v>9</v>
      </c>
      <c r="F5" s="2"/>
      <c r="G5" s="4" t="n">
        <v>45657</v>
      </c>
      <c r="H5" s="2"/>
      <c r="I5" s="4" t="n">
        <f aca="false">B5</f>
        <v>45292</v>
      </c>
      <c r="J5" s="2" t="s">
        <v>7</v>
      </c>
      <c r="K5" s="2" t="s">
        <v>8</v>
      </c>
      <c r="L5" s="4" t="n">
        <f aca="false">G5</f>
        <v>45657</v>
      </c>
      <c r="M5" s="2"/>
      <c r="N5" s="4" t="n">
        <f aca="false">G5</f>
        <v>45657</v>
      </c>
      <c r="O5" s="4" t="n">
        <v>45291</v>
      </c>
      <c r="P5" s="2"/>
      <c r="Q5" s="2"/>
      <c r="R5" s="2" t="s">
        <v>11</v>
      </c>
      <c r="S5" s="2"/>
    </row>
    <row r="6" customFormat="false" ht="15" hidden="false" customHeight="false" outlineLevel="0" collapsed="false">
      <c r="A6" s="2"/>
      <c r="B6" s="5" t="s">
        <v>12</v>
      </c>
      <c r="C6" s="5" t="s">
        <v>12</v>
      </c>
      <c r="D6" s="5" t="s">
        <v>12</v>
      </c>
      <c r="E6" s="5" t="s">
        <v>12</v>
      </c>
      <c r="F6" s="2"/>
      <c r="G6" s="5" t="s">
        <v>12</v>
      </c>
      <c r="H6" s="2"/>
      <c r="I6" s="5" t="s">
        <v>12</v>
      </c>
      <c r="J6" s="5" t="s">
        <v>12</v>
      </c>
      <c r="K6" s="5" t="s">
        <v>12</v>
      </c>
      <c r="L6" s="5" t="s">
        <v>12</v>
      </c>
      <c r="M6" s="2"/>
      <c r="N6" s="5" t="s">
        <v>12</v>
      </c>
      <c r="O6" s="5" t="s">
        <v>12</v>
      </c>
      <c r="P6" s="2"/>
      <c r="Q6" s="2"/>
      <c r="R6" s="5" t="s">
        <v>12</v>
      </c>
      <c r="S6" s="5" t="s">
        <v>12</v>
      </c>
    </row>
    <row r="8" customFormat="false" ht="15" hidden="false" customHeight="false" outlineLevel="0" collapsed="false">
      <c r="A8" s="1" t="s">
        <v>39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10" customFormat="false" ht="15" hidden="false" customHeight="false" outlineLevel="0" collapsed="false">
      <c r="A10" s="2" t="s">
        <v>40</v>
      </c>
      <c r="B10" s="6" t="n">
        <v>159141.43</v>
      </c>
      <c r="C10" s="6"/>
      <c r="D10" s="6" t="n">
        <v>72526.82</v>
      </c>
      <c r="E10" s="6"/>
      <c r="F10" s="2"/>
      <c r="G10" s="6" t="n">
        <f aca="false">B10+C10-D10+E10</f>
        <v>86614.61</v>
      </c>
      <c r="H10" s="2"/>
      <c r="I10" s="6" t="n">
        <v>81646.53</v>
      </c>
      <c r="J10" s="6" t="n">
        <v>16252.98</v>
      </c>
      <c r="K10" s="6" t="n">
        <v>11287.9</v>
      </c>
      <c r="L10" s="6" t="n">
        <f aca="false">I10+J10-K10</f>
        <v>86611.61</v>
      </c>
      <c r="M10" s="2"/>
      <c r="N10" s="6" t="n">
        <f aca="false">G10-L10</f>
        <v>2.99999999998545</v>
      </c>
      <c r="O10" s="6" t="n">
        <f aca="false">B10-I10</f>
        <v>77494.9</v>
      </c>
      <c r="P10" s="2"/>
      <c r="Q10" s="2"/>
      <c r="R10" s="6" t="n">
        <v>3</v>
      </c>
      <c r="S10" s="6" t="n">
        <f aca="false">R10-N10</f>
        <v>1.45519152283669E-011</v>
      </c>
    </row>
    <row r="11" customFormat="false" ht="15" hidden="false" customHeight="false" outlineLevel="0" collapsed="false">
      <c r="A11" s="2"/>
      <c r="B11" s="7" t="n">
        <f aca="false">SUM(B10)</f>
        <v>159141.43</v>
      </c>
      <c r="C11" s="7" t="n">
        <f aca="false">SUM(C10)</f>
        <v>0</v>
      </c>
      <c r="D11" s="7" t="n">
        <f aca="false">SUM(D10)</f>
        <v>72526.82</v>
      </c>
      <c r="E11" s="7" t="n">
        <f aca="false">SUM(E10)</f>
        <v>0</v>
      </c>
      <c r="F11" s="2"/>
      <c r="G11" s="7" t="n">
        <f aca="false">SUM(G10)</f>
        <v>86614.61</v>
      </c>
      <c r="H11" s="2"/>
      <c r="I11" s="7" t="n">
        <v>81646.53</v>
      </c>
      <c r="J11" s="7" t="n">
        <f aca="false">SUM(J10)</f>
        <v>16252.98</v>
      </c>
      <c r="K11" s="7" t="n">
        <f aca="false">SUM(K10)</f>
        <v>11287.9</v>
      </c>
      <c r="L11" s="7" t="n">
        <f aca="false">SUM(L10)</f>
        <v>86611.61</v>
      </c>
      <c r="M11" s="2"/>
      <c r="N11" s="7" t="n">
        <f aca="false">SUM(N10)</f>
        <v>2.99999999998545</v>
      </c>
      <c r="O11" s="7" t="n">
        <f aca="false">SUM(O10)</f>
        <v>77494.9</v>
      </c>
      <c r="P11" s="2"/>
      <c r="Q11" s="2"/>
      <c r="R11" s="7" t="n">
        <f aca="false">SUM(R10)</f>
        <v>3</v>
      </c>
      <c r="S11" s="7" t="n">
        <f aca="false">R11-N11</f>
        <v>1.45519152283669E-011</v>
      </c>
    </row>
    <row r="13" customFormat="false" ht="15" hidden="false" customHeight="false" outlineLevel="0" collapsed="false">
      <c r="A13" s="1" t="s">
        <v>41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5" customFormat="false" ht="15" hidden="false" customHeight="false" outlineLevel="0" collapsed="false">
      <c r="A15" s="2" t="s">
        <v>42</v>
      </c>
      <c r="B15" s="6" t="n">
        <v>402646.62</v>
      </c>
      <c r="C15" s="6"/>
      <c r="D15" s="6"/>
      <c r="E15" s="6"/>
      <c r="F15" s="2"/>
      <c r="G15" s="6" t="n">
        <f aca="false">B15+C15-D15+E15</f>
        <v>402646.62</v>
      </c>
      <c r="H15" s="2"/>
      <c r="I15" s="6"/>
      <c r="J15" s="6"/>
      <c r="K15" s="6"/>
      <c r="L15" s="6" t="n">
        <f aca="false">I15+J15-K15</f>
        <v>0</v>
      </c>
      <c r="M15" s="2"/>
      <c r="N15" s="6" t="n">
        <f aca="false">G15-L15</f>
        <v>402646.62</v>
      </c>
      <c r="O15" s="6" t="n">
        <f aca="false">B15-I15</f>
        <v>402646.62</v>
      </c>
      <c r="P15" s="2"/>
      <c r="Q15" s="2"/>
      <c r="R15" s="6" t="n">
        <v>402646.62</v>
      </c>
      <c r="S15" s="6" t="n">
        <f aca="false">R15-N15</f>
        <v>0</v>
      </c>
    </row>
    <row r="16" customFormat="false" ht="15" hidden="false" customHeight="false" outlineLevel="0" collapsed="false">
      <c r="A16" s="2" t="s">
        <v>43</v>
      </c>
      <c r="B16" s="6" t="n">
        <v>628379.16</v>
      </c>
      <c r="C16" s="6"/>
      <c r="D16" s="6"/>
      <c r="E16" s="6"/>
      <c r="F16" s="2"/>
      <c r="G16" s="6" t="n">
        <f aca="false">B16+C16-D16+E16</f>
        <v>628379.16</v>
      </c>
      <c r="H16" s="2"/>
      <c r="I16" s="6" t="n">
        <v>430754.48</v>
      </c>
      <c r="J16" s="6" t="n">
        <v>39843.7</v>
      </c>
      <c r="K16" s="6"/>
      <c r="L16" s="6" t="n">
        <f aca="false">I16+J16-K16</f>
        <v>470598.18</v>
      </c>
      <c r="M16" s="2"/>
      <c r="N16" s="6" t="n">
        <f aca="false">G16-L16</f>
        <v>157780.98</v>
      </c>
      <c r="O16" s="6" t="n">
        <f aca="false">B16-I16</f>
        <v>197624.68</v>
      </c>
      <c r="P16" s="2"/>
      <c r="Q16" s="2"/>
      <c r="R16" s="6" t="n">
        <v>157780.98</v>
      </c>
      <c r="S16" s="6" t="n">
        <f aca="false">R16-N16</f>
        <v>0</v>
      </c>
    </row>
    <row r="17" customFormat="false" ht="15" hidden="false" customHeight="false" outlineLevel="0" collapsed="false">
      <c r="A17" s="2" t="s">
        <v>44</v>
      </c>
      <c r="B17" s="6" t="n">
        <v>146086.48</v>
      </c>
      <c r="C17" s="6" t="n">
        <v>1458.81</v>
      </c>
      <c r="D17" s="6"/>
      <c r="E17" s="6"/>
      <c r="F17" s="2"/>
      <c r="G17" s="6" t="n">
        <f aca="false">B17+C17-D17+E17</f>
        <v>147545.29</v>
      </c>
      <c r="H17" s="2"/>
      <c r="I17" s="6" t="n">
        <v>136995.05</v>
      </c>
      <c r="J17" s="6" t="n">
        <f aca="false">7088.15+155.86+1458.81</f>
        <v>8702.82</v>
      </c>
      <c r="K17" s="6"/>
      <c r="L17" s="6" t="n">
        <f aca="false">I17+J17-K17</f>
        <v>145697.87</v>
      </c>
      <c r="M17" s="2"/>
      <c r="N17" s="6" t="n">
        <f aca="false">G17-L17</f>
        <v>1847.42000000001</v>
      </c>
      <c r="O17" s="6" t="n">
        <f aca="false">B17-I17</f>
        <v>9091.43000000002</v>
      </c>
      <c r="P17" s="2"/>
      <c r="Q17" s="2"/>
      <c r="R17" s="6" t="n">
        <v>1847.4200000001</v>
      </c>
      <c r="S17" s="6" t="n">
        <f aca="false">R17-N17</f>
        <v>8.70841176947579E-011</v>
      </c>
    </row>
    <row r="18" customFormat="false" ht="15" hidden="false" customHeight="false" outlineLevel="0" collapsed="false">
      <c r="A18" s="2" t="s">
        <v>45</v>
      </c>
      <c r="B18" s="6"/>
      <c r="C18" s="6" t="n">
        <v>28234.89</v>
      </c>
      <c r="D18" s="6"/>
      <c r="E18" s="6"/>
      <c r="F18" s="2"/>
      <c r="G18" s="6" t="n">
        <f aca="false">B18+C18-D18+E18</f>
        <v>28234.89</v>
      </c>
      <c r="H18" s="2"/>
      <c r="I18" s="6"/>
      <c r="J18" s="6"/>
      <c r="K18" s="6"/>
      <c r="L18" s="6" t="n">
        <f aca="false">I18+J18-K18</f>
        <v>0</v>
      </c>
      <c r="M18" s="2"/>
      <c r="N18" s="6" t="n">
        <f aca="false">G18-L18</f>
        <v>28234.89</v>
      </c>
      <c r="O18" s="6" t="n">
        <f aca="false">B18-I18</f>
        <v>0</v>
      </c>
      <c r="P18" s="2"/>
      <c r="Q18" s="2"/>
      <c r="R18" s="6" t="n">
        <v>28234.89</v>
      </c>
      <c r="S18" s="6" t="n">
        <f aca="false">R18-N18</f>
        <v>0</v>
      </c>
    </row>
    <row r="19" customFormat="false" ht="15" hidden="false" customHeight="false" outlineLevel="0" collapsed="false">
      <c r="A19" s="2"/>
      <c r="B19" s="7" t="n">
        <f aca="false">SUM(B14:B18)</f>
        <v>1177112.26</v>
      </c>
      <c r="C19" s="7" t="n">
        <f aca="false">SUM(C14:C18)</f>
        <v>29693.7</v>
      </c>
      <c r="D19" s="7" t="n">
        <f aca="false">SUM(D14:D18)</f>
        <v>0</v>
      </c>
      <c r="E19" s="7" t="n">
        <f aca="false">SUM(E14:E18)</f>
        <v>0</v>
      </c>
      <c r="F19" s="2"/>
      <c r="G19" s="7" t="n">
        <f aca="false">SUM(G14:G18)</f>
        <v>1206805.96</v>
      </c>
      <c r="H19" s="2"/>
      <c r="I19" s="7" t="n">
        <f aca="false">SUM(I14:I18)</f>
        <v>567749.53</v>
      </c>
      <c r="J19" s="7" t="n">
        <f aca="false">SUM(J14:J18)</f>
        <v>48546.52</v>
      </c>
      <c r="K19" s="7" t="n">
        <f aca="false">SUM(K14:K18)</f>
        <v>0</v>
      </c>
      <c r="L19" s="7" t="n">
        <f aca="false">SUM(L14:L18)</f>
        <v>616296.05</v>
      </c>
      <c r="M19" s="2"/>
      <c r="N19" s="7" t="n">
        <f aca="false">SUM(N14:N18)</f>
        <v>590509.91</v>
      </c>
      <c r="O19" s="7" t="n">
        <f aca="false">SUM(O14:O18)</f>
        <v>609362.73</v>
      </c>
      <c r="P19" s="2"/>
      <c r="Q19" s="2"/>
      <c r="R19" s="7" t="n">
        <f aca="false">SUM(R14:R18)</f>
        <v>590509.91</v>
      </c>
      <c r="S19" s="7" t="n">
        <f aca="false">R19-N19</f>
        <v>0</v>
      </c>
    </row>
    <row r="21" customFormat="false" ht="15" hidden="false" customHeight="false" outlineLevel="0" collapsed="false">
      <c r="A21" s="1" t="s">
        <v>46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3" customFormat="false" ht="15" hidden="false" customHeight="false" outlineLevel="0" collapsed="false">
      <c r="A23" s="2" t="s">
        <v>47</v>
      </c>
      <c r="B23" s="6" t="n">
        <v>146631.19</v>
      </c>
      <c r="C23" s="6"/>
      <c r="D23" s="6"/>
      <c r="E23" s="6"/>
      <c r="F23" s="2"/>
      <c r="G23" s="6" t="n">
        <f aca="false">B23+C23-D23+E23</f>
        <v>146631.19</v>
      </c>
      <c r="H23" s="2"/>
      <c r="I23" s="6" t="n">
        <v>763.65</v>
      </c>
      <c r="J23" s="6"/>
      <c r="K23" s="6"/>
      <c r="L23" s="6" t="n">
        <f aca="false">I23+J23-K23</f>
        <v>763.65</v>
      </c>
      <c r="M23" s="2"/>
      <c r="N23" s="6" t="n">
        <f aca="false">G23-L23</f>
        <v>145867.54</v>
      </c>
      <c r="O23" s="6" t="n">
        <f aca="false">B23-I23</f>
        <v>145867.54</v>
      </c>
      <c r="P23" s="2"/>
      <c r="Q23" s="2"/>
      <c r="R23" s="6" t="n">
        <v>145867.54</v>
      </c>
      <c r="S23" s="6" t="n">
        <f aca="false">R23-N23</f>
        <v>0</v>
      </c>
    </row>
    <row r="24" customFormat="false" ht="15" hidden="false" customHeight="false" outlineLevel="0" collapsed="false">
      <c r="A24" s="2"/>
      <c r="B24" s="7" t="n">
        <f aca="false">SUM(B23)</f>
        <v>146631.19</v>
      </c>
      <c r="C24" s="7" t="n">
        <f aca="false">SUM(C23)</f>
        <v>0</v>
      </c>
      <c r="D24" s="7" t="n">
        <f aca="false">SUM(D23)</f>
        <v>0</v>
      </c>
      <c r="E24" s="7" t="n">
        <f aca="false">SUM(E23)</f>
        <v>0</v>
      </c>
      <c r="F24" s="2"/>
      <c r="G24" s="7" t="n">
        <f aca="false">SUM(G23)</f>
        <v>146631.19</v>
      </c>
      <c r="H24" s="2"/>
      <c r="I24" s="7" t="n">
        <f aca="false">SUM(I23)</f>
        <v>763.65</v>
      </c>
      <c r="J24" s="7" t="n">
        <f aca="false">SUM(J23)</f>
        <v>0</v>
      </c>
      <c r="K24" s="7" t="n">
        <f aca="false">SUM(K23)</f>
        <v>0</v>
      </c>
      <c r="L24" s="7" t="n">
        <f aca="false">SUM(L23)</f>
        <v>763.65</v>
      </c>
      <c r="M24" s="2"/>
      <c r="N24" s="7" t="n">
        <f aca="false">SUM(N23)</f>
        <v>145867.54</v>
      </c>
      <c r="O24" s="7" t="n">
        <f aca="false">SUM(O23)</f>
        <v>145867.54</v>
      </c>
      <c r="P24" s="2"/>
      <c r="Q24" s="2"/>
      <c r="R24" s="7" t="n">
        <f aca="false">SUM(R23)</f>
        <v>145867.54</v>
      </c>
      <c r="S24" s="7" t="n">
        <f aca="false">R24-N24</f>
        <v>0</v>
      </c>
    </row>
    <row r="26" customFormat="false" ht="15" hidden="false" customHeight="false" outlineLevel="0" collapsed="false">
      <c r="A26" s="2"/>
      <c r="B26" s="8" t="n">
        <f aca="false">B11+B19+B24</f>
        <v>1482884.88</v>
      </c>
      <c r="C26" s="8" t="n">
        <f aca="false">C11+C19+C24</f>
        <v>29693.7</v>
      </c>
      <c r="D26" s="8" t="n">
        <f aca="false">D11+D19+D24</f>
        <v>72526.82</v>
      </c>
      <c r="E26" s="8" t="n">
        <f aca="false">E11+E19+E24</f>
        <v>0</v>
      </c>
      <c r="F26" s="2"/>
      <c r="G26" s="8" t="n">
        <f aca="false">G11+G19+G24</f>
        <v>1440051.76</v>
      </c>
      <c r="H26" s="2"/>
      <c r="I26" s="8" t="n">
        <f aca="false">I11+I19+I24</f>
        <v>650159.71</v>
      </c>
      <c r="J26" s="8" t="n">
        <f aca="false">J11+J19+J24</f>
        <v>64799.5</v>
      </c>
      <c r="K26" s="8" t="n">
        <f aca="false">K11+K19+K24</f>
        <v>11287.9</v>
      </c>
      <c r="L26" s="8" t="n">
        <f aca="false">L11+L19+L24</f>
        <v>703671.31</v>
      </c>
      <c r="M26" s="2"/>
      <c r="N26" s="8" t="n">
        <f aca="false">N11+N19+N24</f>
        <v>736380.45</v>
      </c>
      <c r="O26" s="8" t="n">
        <f aca="false">O11+O19+O24</f>
        <v>832725.17</v>
      </c>
      <c r="P26" s="2"/>
      <c r="Q26" s="2"/>
      <c r="R26" s="8" t="n">
        <f aca="false">R11+R19+R24</f>
        <v>736380.45</v>
      </c>
      <c r="S26" s="8" t="n">
        <f aca="false">R26-N26</f>
        <v>0</v>
      </c>
    </row>
  </sheetData>
  <mergeCells count="3">
    <mergeCell ref="B4:G4"/>
    <mergeCell ref="I4:L4"/>
    <mergeCell ref="N4:O4"/>
  </mergeCells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&amp;LPelloswerth Fahrzeugbau KG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