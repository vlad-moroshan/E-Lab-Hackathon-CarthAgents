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<sst xmlns="http://schemas.openxmlformats.org/spreadsheetml/2006/main" count="332" uniqueCount="161">
  <si>
    <t xml:space="preserve">Jahresabschluss per 30.06.2025</t>
  </si>
  <si>
    <t xml:space="preserve">BK: 7307</t>
  </si>
  <si>
    <t xml:space="preserve">SUMMEN</t>
  </si>
  <si>
    <t xml:space="preserve">Anlage</t>
  </si>
  <si>
    <t xml:space="preserve">Unter-nummer</t>
  </si>
  <si>
    <t xml:space="preserve">Aktivierung am</t>
  </si>
  <si>
    <t xml:space="preserve">Anlagenbezeichnung</t>
  </si>
  <si>
    <t xml:space="preserve">Währ-ung</t>
  </si>
  <si>
    <t xml:space="preserve">AHK GJ-Beg</t>
  </si>
  <si>
    <t xml:space="preserve">Zugang</t>
  </si>
  <si>
    <t xml:space="preserve">Abgang</t>
  </si>
  <si>
    <t xml:space="preserve">Umbuchung</t>
  </si>
  <si>
    <t xml:space="preserve">Nachaktivg</t>
  </si>
  <si>
    <t xml:space="preserve">Invest.Förderg</t>
  </si>
  <si>
    <t xml:space="preserve">aktuelle AHK</t>
  </si>
  <si>
    <t xml:space="preserve">AfA GJ-Beg</t>
  </si>
  <si>
    <t xml:space="preserve">AfA des Jahres</t>
  </si>
  <si>
    <t xml:space="preserve">AfA Abgang</t>
  </si>
  <si>
    <t xml:space="preserve">AfA Umbuchung</t>
  </si>
  <si>
    <t xml:space="preserve">AfA Nachaktivg</t>
  </si>
  <si>
    <t xml:space="preserve">Zuschreibungen</t>
  </si>
  <si>
    <t xml:space="preserve">kumulierte AfA</t>
  </si>
  <si>
    <t xml:space="preserve">Buchwrt GJ-Beg</t>
  </si>
  <si>
    <t xml:space="preserve">lfd Buchwert</t>
  </si>
  <si>
    <t xml:space="preserve">100001001</t>
  </si>
  <si>
    <t xml:space="preserve">0</t>
  </si>
  <si>
    <t xml:space="preserve">Finanzbuchhaltung Software</t>
  </si>
  <si>
    <t xml:space="preserve">EUR</t>
  </si>
  <si>
    <t xml:space="preserve">100001002</t>
  </si>
  <si>
    <t xml:space="preserve">CAD-Software Lizenz Nr. 7</t>
  </si>
  <si>
    <t xml:space="preserve">1</t>
  </si>
  <si>
    <t xml:space="preserve">CAD-Software Lizenz Nr. 7 Nachrüstung</t>
  </si>
  <si>
    <t xml:space="preserve">200001001</t>
  </si>
  <si>
    <t xml:space="preserve">Grundstück Gewerbegebiet</t>
  </si>
  <si>
    <t xml:space="preserve">200001002</t>
  </si>
  <si>
    <t xml:space="preserve">Erweiterungsfläche</t>
  </si>
  <si>
    <t xml:space="preserve">210001001</t>
  </si>
  <si>
    <t xml:space="preserve">Lagerhalle</t>
  </si>
  <si>
    <t xml:space="preserve">210001002</t>
  </si>
  <si>
    <t xml:space="preserve">Produktionshalle</t>
  </si>
  <si>
    <t xml:space="preserve">210001003</t>
  </si>
  <si>
    <t xml:space="preserve">210001004</t>
  </si>
  <si>
    <t xml:space="preserve">Anbau Sozialtrakt</t>
  </si>
  <si>
    <t xml:space="preserve">Anbau Sozialtrakt Erweiterung</t>
  </si>
  <si>
    <t xml:space="preserve">210001005</t>
  </si>
  <si>
    <t xml:space="preserve">300001001</t>
  </si>
  <si>
    <t xml:space="preserve">CNC-Drehmaschine (gebraucht)</t>
  </si>
  <si>
    <t xml:space="preserve">300001002</t>
  </si>
  <si>
    <t xml:space="preserve">CNC-Drehmaschine Halle 2</t>
  </si>
  <si>
    <t xml:space="preserve">CNC-Drehmaschine Halle 2 Erweiterung</t>
  </si>
  <si>
    <t xml:space="preserve">300001003</t>
  </si>
  <si>
    <t xml:space="preserve">CNC-Fräszentrum 5-Achs Halle 2</t>
  </si>
  <si>
    <t xml:space="preserve">300001004</t>
  </si>
  <si>
    <t xml:space="preserve">Flachschleifmaschine Halle 1</t>
  </si>
  <si>
    <t xml:space="preserve">300001005</t>
  </si>
  <si>
    <t xml:space="preserve">Abkantpresse Halle 4</t>
  </si>
  <si>
    <t xml:space="preserve">310001001</t>
  </si>
  <si>
    <t xml:space="preserve">Notstromaggregat</t>
  </si>
  <si>
    <t xml:space="preserve">310001002</t>
  </si>
  <si>
    <t xml:space="preserve">Brückenkran 5t</t>
  </si>
  <si>
    <t xml:space="preserve">310001003</t>
  </si>
  <si>
    <t xml:space="preserve">Druckluftnetz Halle 4</t>
  </si>
  <si>
    <t xml:space="preserve">310001004</t>
  </si>
  <si>
    <t xml:space="preserve">310001005</t>
  </si>
  <si>
    <t xml:space="preserve">Kälteanlage (gebraucht)</t>
  </si>
  <si>
    <t xml:space="preserve">400001001</t>
  </si>
  <si>
    <t xml:space="preserve">Palettenregal</t>
  </si>
  <si>
    <t xml:space="preserve">400001002</t>
  </si>
  <si>
    <t xml:space="preserve">Werkbank</t>
  </si>
  <si>
    <t xml:space="preserve">400001003</t>
  </si>
  <si>
    <t xml:space="preserve">400001004</t>
  </si>
  <si>
    <t xml:space="preserve">Schweißgerät</t>
  </si>
  <si>
    <t xml:space="preserve">Schweißgerät Zusatzmodul</t>
  </si>
  <si>
    <t xml:space="preserve">400001005</t>
  </si>
  <si>
    <t xml:space="preserve">Elektro-Hubwagen Nr. 2</t>
  </si>
  <si>
    <t xml:space="preserve">410001001</t>
  </si>
  <si>
    <t xml:space="preserve">Bürostuhl ergonomisch Nr. 33</t>
  </si>
  <si>
    <t xml:space="preserve">410001002</t>
  </si>
  <si>
    <t xml:space="preserve">Schreibtisch höhenverstellbar Typ K875</t>
  </si>
  <si>
    <t xml:space="preserve">410001004</t>
  </si>
  <si>
    <t xml:space="preserve">Besprechungstisch (gebraucht)</t>
  </si>
  <si>
    <t xml:space="preserve">Besprechungstisch (gebraucht) Zusatzmodul</t>
  </si>
  <si>
    <t xml:space="preserve">410001005</t>
  </si>
  <si>
    <t xml:space="preserve">Rollcontainer</t>
  </si>
  <si>
    <t xml:space="preserve">Rollcontainer Nachrüstung</t>
  </si>
  <si>
    <t xml:space="preserve">420001001</t>
  </si>
  <si>
    <t xml:space="preserve">Pkw Elektro</t>
  </si>
  <si>
    <t xml:space="preserve">420001002</t>
  </si>
  <si>
    <t xml:space="preserve">Pkw Kombi Diesel</t>
  </si>
  <si>
    <t xml:space="preserve">420001003</t>
  </si>
  <si>
    <t xml:space="preserve">420001004</t>
  </si>
  <si>
    <t xml:space="preserve">Pkw Mittelklasse Hybrid</t>
  </si>
  <si>
    <t xml:space="preserve">430001001</t>
  </si>
  <si>
    <t xml:space="preserve">Kastenwagen</t>
  </si>
  <si>
    <t xml:space="preserve">430001002</t>
  </si>
  <si>
    <t xml:space="preserve">430001003</t>
  </si>
  <si>
    <t xml:space="preserve">Lkw 7,5t Pritsche Typ T426</t>
  </si>
  <si>
    <t xml:space="preserve">Lkw 7,5t Pritsche Typ T426 Erweiterung</t>
  </si>
  <si>
    <t xml:space="preserve">430001004</t>
  </si>
  <si>
    <t xml:space="preserve">Kastenwagen Typ A572</t>
  </si>
  <si>
    <t xml:space="preserve">430001005</t>
  </si>
  <si>
    <t xml:space="preserve">Tandemanhänger Typ M577</t>
  </si>
  <si>
    <t xml:space="preserve">440001001</t>
  </si>
  <si>
    <t xml:space="preserve">Firewall-Appliance</t>
  </si>
  <si>
    <t xml:space="preserve">Firewall-Appliance Erweiterung</t>
  </si>
  <si>
    <t xml:space="preserve">440001002</t>
  </si>
  <si>
    <t xml:space="preserve">NAS-Speicher</t>
  </si>
  <si>
    <t xml:space="preserve">NAS-Speicher Nachrüstung</t>
  </si>
  <si>
    <t xml:space="preserve">440001003</t>
  </si>
  <si>
    <t xml:space="preserve">Netzwerk-Switch 48 Port (gebraucht)</t>
  </si>
  <si>
    <t xml:space="preserve">440001004</t>
  </si>
  <si>
    <t xml:space="preserve">440001005</t>
  </si>
  <si>
    <t xml:space="preserve">490001002</t>
  </si>
  <si>
    <t xml:space="preserve">Tablet</t>
  </si>
  <si>
    <t xml:space="preserve">490001003</t>
  </si>
  <si>
    <t xml:space="preserve">Laserdrucker</t>
  </si>
  <si>
    <t xml:space="preserve">490001004</t>
  </si>
  <si>
    <t xml:space="preserve">Stehleuchte</t>
  </si>
  <si>
    <t xml:space="preserve">500001001</t>
  </si>
  <si>
    <t xml:space="preserve">AiB Flachschleifmaschine Halle 1</t>
  </si>
  <si>
    <t xml:space="preserve">600001001</t>
  </si>
  <si>
    <t xml:space="preserve">Beteiligung Einkaufsgenossenschaft</t>
  </si>
  <si>
    <t xml:space="preserve">Buchungskreis 7307</t>
  </si>
  <si>
    <t xml:space="preserve">Abstimmung Bilanz</t>
  </si>
  <si>
    <t xml:space="preserve">lfd Buchwert lt. Anlagengitter</t>
  </si>
  <si>
    <t xml:space="preserve">Immaterielle VG lt. Bilanz</t>
  </si>
  <si>
    <t xml:space="preserve">Sachanlagen lt. Bilanz</t>
  </si>
  <si>
    <t xml:space="preserve">Finanzanlagen lt. Bilanz</t>
  </si>
  <si>
    <t xml:space="preserve">Differenz</t>
  </si>
  <si>
    <t xml:space="preserve">Buchungskreis</t>
  </si>
  <si>
    <t xml:space="preserve">Anlagenklasse</t>
  </si>
  <si>
    <t xml:space="preserve">Bezeichnung</t>
  </si>
  <si>
    <t xml:space="preserve">SUMME AHK / Zugang / Abgang / Umbuchung</t>
  </si>
  <si>
    <t xml:space="preserve">Differenz zu aktuelle AHK</t>
  </si>
  <si>
    <t xml:space="preserve">7307</t>
  </si>
  <si>
    <t xml:space="preserve">1000</t>
  </si>
  <si>
    <t xml:space="preserve">EDV-Software</t>
  </si>
  <si>
    <t xml:space="preserve">2000</t>
  </si>
  <si>
    <t xml:space="preserve">Grund und Boden</t>
  </si>
  <si>
    <t xml:space="preserve">2100</t>
  </si>
  <si>
    <t xml:space="preserve">Fabrikbauten</t>
  </si>
  <si>
    <t xml:space="preserve">3000</t>
  </si>
  <si>
    <t xml:space="preserve">Maschinen</t>
  </si>
  <si>
    <t xml:space="preserve">3100</t>
  </si>
  <si>
    <t xml:space="preserve">Technische Anlagen</t>
  </si>
  <si>
    <t xml:space="preserve">4000</t>
  </si>
  <si>
    <t xml:space="preserve">Betriebsausstattung</t>
  </si>
  <si>
    <t xml:space="preserve">4100</t>
  </si>
  <si>
    <t xml:space="preserve">Büroeinrichtung</t>
  </si>
  <si>
    <t xml:space="preserve">4200</t>
  </si>
  <si>
    <t xml:space="preserve">Pkw</t>
  </si>
  <si>
    <t xml:space="preserve">4300</t>
  </si>
  <si>
    <t xml:space="preserve">Lkw</t>
  </si>
  <si>
    <t xml:space="preserve">4400</t>
  </si>
  <si>
    <t xml:space="preserve">EDV-Hardware</t>
  </si>
  <si>
    <t xml:space="preserve">4900</t>
  </si>
  <si>
    <t xml:space="preserve">GWG</t>
  </si>
  <si>
    <t xml:space="preserve">5000</t>
  </si>
  <si>
    <t xml:space="preserve">Anlagen im Bau</t>
  </si>
  <si>
    <t xml:space="preserve">6000</t>
  </si>
  <si>
    <t xml:space="preserve">Beteiligungen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</si>
</sst>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dd\.mm\.yyyy"/>
    <numFmt numFmtId="167" formatCode="#,##0.00"/>
    <numFmt numFmtId="168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ptos Narrow"/>
      <family val="0"/>
      <charset val="1"/>
    </font>
    <font>
      <sz val="11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E2EFDA"/>
      </patternFill>
    </fill>
    <fill>
      <patternFill patternType="solid">
        <fgColor rgb="FFFFFB8B"/>
        <bgColor rgb="FFFFFFCC"/>
      </patternFill>
    </fill>
    <fill>
      <patternFill patternType="solid">
        <fgColor rgb="FFFFF844"/>
        <bgColor rgb="FFFFFF00"/>
      </patternFill>
    </fill>
    <fill>
      <patternFill patternType="solid">
        <fgColor rgb="FFE2EFDA"/>
        <bgColor rgb="FFDDDDD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844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B8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U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2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6"/>
    <col collapsed="false" customWidth="true" hidden="false" outlineLevel="0" max="21" min="6" style="0" width="15"/>
  </cols>
  <sheetData>
    <row r="4" customFormat="false" ht="15" hidden="false" customHeight="false" outlineLevel="0" collapsed="false">
      <c r="A4" s="1" t="s">
        <v>0</v>
      </c>
    </row>
    <row r="6" customFormat="false" ht="15" hidden="false" customHeight="false" outlineLevel="0" collapsed="false">
      <c r="A6" s="2" t="s">
        <v>1</v>
      </c>
    </row>
    <row r="9" customFormat="false" ht="15" hidden="false" customHeight="false" outlineLevel="0" collapsed="false">
      <c r="A9" s="1" t="s">
        <v>2</v>
      </c>
      <c r="B9" s="1"/>
      <c r="C9" s="1"/>
      <c r="D9" s="1"/>
      <c r="E9" s="1"/>
      <c r="F9" s="3" t="n">
        <f aca="false">SUBTOTAL(9,F14:F69)</f>
        <v>7951457.14</v>
      </c>
      <c r="G9" s="3" t="n">
        <f aca="false">SUBTOTAL(9,G14:G69)</f>
        <v>214150.78</v>
      </c>
      <c r="H9" s="3" t="n">
        <f aca="false">SUBTOTAL(9,H14:H69)</f>
        <v>-946.25</v>
      </c>
      <c r="I9" s="3" t="n">
        <f aca="false">SUBTOTAL(9,I14:I69)</f>
        <v>0</v>
      </c>
      <c r="J9" s="3" t="n">
        <f aca="false">SUBTOTAL(9,J14:J69)</f>
        <v>0</v>
      </c>
      <c r="K9" s="3" t="n">
        <f aca="false">SUBTOTAL(9,K14:K69)</f>
        <v>0</v>
      </c>
      <c r="L9" s="3" t="n">
        <f aca="false">SUBTOTAL(9,L14:L69)</f>
        <v>8164661.67</v>
      </c>
      <c r="M9" s="3" t="n">
        <f aca="false">SUBTOTAL(9,M14:M69)</f>
        <v>-4707816.84</v>
      </c>
      <c r="N9" s="3" t="n">
        <f aca="false">SUBTOTAL(9,N14:N69)</f>
        <v>-178040.99</v>
      </c>
      <c r="O9" s="3" t="n">
        <f aca="false">SUBTOTAL(9,O14:O69)</f>
        <v>945.25</v>
      </c>
      <c r="P9" s="3" t="n">
        <f aca="false">SUBTOTAL(9,P14:P69)</f>
        <v>0</v>
      </c>
      <c r="Q9" s="3" t="n">
        <f aca="false">SUBTOTAL(9,Q14:Q69)</f>
        <v>0</v>
      </c>
      <c r="R9" s="3" t="n">
        <f aca="false">SUBTOTAL(9,R14:R69)</f>
        <v>24349.66</v>
      </c>
      <c r="S9" s="3" t="n">
        <f aca="false">SUBTOTAL(9,S14:S69)</f>
        <v>-4860562.92</v>
      </c>
      <c r="T9" s="3" t="n">
        <f aca="false">SUBTOTAL(9,T14:T69)</f>
        <v>3243640.3</v>
      </c>
      <c r="U9" s="3" t="n">
        <f aca="false">SUBTOTAL(9,U14:U69)</f>
        <v>3304098.75</v>
      </c>
    </row>
    <row r="13" customFormat="false" ht="30" hidden="false" customHeight="true" outlineLevel="0" collapsed="false">
      <c r="A13" s="4" t="s">
        <v>3</v>
      </c>
      <c r="B13" s="4" t="s">
        <v>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9</v>
      </c>
      <c r="H13" s="4" t="s">
        <v>10</v>
      </c>
      <c r="I13" s="4" t="s">
        <v>11</v>
      </c>
      <c r="J13" s="4" t="s">
        <v>12</v>
      </c>
      <c r="K13" s="4" t="s">
        <v>13</v>
      </c>
      <c r="L13" s="4" t="s">
        <v>14</v>
      </c>
      <c r="M13" s="4" t="s">
        <v>15</v>
      </c>
      <c r="N13" s="4" t="s">
        <v>16</v>
      </c>
      <c r="O13" s="4" t="s">
        <v>17</v>
      </c>
      <c r="P13" s="4" t="s">
        <v>18</v>
      </c>
      <c r="Q13" s="4" t="s">
        <v>19</v>
      </c>
      <c r="R13" s="4" t="s">
        <v>20</v>
      </c>
      <c r="S13" s="4" t="s">
        <v>21</v>
      </c>
      <c r="T13" s="4" t="s">
        <v>22</v>
      </c>
      <c r="U13" s="4" t="s">
        <v>23</v>
      </c>
    </row>
    <row r="14" customFormat="false" ht="15" hidden="true" customHeight="false" outlineLevel="2" collapsed="false">
      <c r="A14" s="2" t="s">
        <v>24</v>
      </c>
      <c r="B14" s="2" t="s">
        <v>25</v>
      </c>
      <c r="C14" s="5" t="n">
        <v>43283</v>
      </c>
      <c r="D14" s="2" t="s">
        <v>26</v>
      </c>
      <c r="E14" s="2" t="s">
        <v>27</v>
      </c>
      <c r="F14" s="6" t="n">
        <v>8705.63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6" t="n">
        <v>8705.63</v>
      </c>
      <c r="M14" s="6" t="n">
        <v>-8704.63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-8704.63</v>
      </c>
      <c r="T14" s="6" t="n">
        <v>1</v>
      </c>
      <c r="U14" s="6" t="n">
        <v>1</v>
      </c>
    </row>
    <row r="15" customFormat="false" ht="15" hidden="true" customHeight="false" outlineLevel="2" collapsed="false">
      <c r="A15" s="2" t="s">
        <v>28</v>
      </c>
      <c r="B15" s="2" t="s">
        <v>25</v>
      </c>
      <c r="C15" s="5" t="n">
        <v>44274</v>
      </c>
      <c r="D15" s="2" t="s">
        <v>29</v>
      </c>
      <c r="E15" s="2" t="s">
        <v>27</v>
      </c>
      <c r="F15" s="6" t="n">
        <v>2196.89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6" t="n">
        <v>2196.89</v>
      </c>
      <c r="M15" s="6" t="n">
        <v>-2195.89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6" t="n">
        <v>-2195.89</v>
      </c>
      <c r="T15" s="6" t="n">
        <v>1</v>
      </c>
      <c r="U15" s="6" t="n">
        <v>1</v>
      </c>
    </row>
    <row r="16" customFormat="false" ht="15" hidden="true" customHeight="false" outlineLevel="2" collapsed="false">
      <c r="A16" s="2" t="s">
        <v>28</v>
      </c>
      <c r="B16" s="2" t="s">
        <v>30</v>
      </c>
      <c r="C16" s="5" t="n">
        <v>44883</v>
      </c>
      <c r="D16" s="2" t="s">
        <v>31</v>
      </c>
      <c r="E16" s="2" t="s">
        <v>27</v>
      </c>
      <c r="F16" s="6" t="n">
        <v>571.65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6" t="n">
        <v>571.65</v>
      </c>
      <c r="M16" s="6" t="n">
        <v>-317.58</v>
      </c>
      <c r="N16" s="6" t="n">
        <v>-190.55</v>
      </c>
      <c r="O16" s="7" t="n">
        <v>0</v>
      </c>
      <c r="P16" s="7" t="n">
        <v>0</v>
      </c>
      <c r="Q16" s="7" t="n">
        <v>0</v>
      </c>
      <c r="R16" s="7" t="n">
        <v>0</v>
      </c>
      <c r="S16" s="6" t="n">
        <v>-508.13</v>
      </c>
      <c r="T16" s="6" t="n">
        <v>254.07</v>
      </c>
      <c r="U16" s="6" t="n">
        <v>63.52</v>
      </c>
    </row>
    <row r="17" customFormat="false" ht="15" hidden="true" customHeight="false" outlineLevel="2" collapsed="false">
      <c r="A17" s="2" t="s">
        <v>32</v>
      </c>
      <c r="B17" s="2" t="s">
        <v>25</v>
      </c>
      <c r="C17" s="5" t="n">
        <v>37169</v>
      </c>
      <c r="D17" s="2" t="s">
        <v>33</v>
      </c>
      <c r="E17" s="2" t="s">
        <v>27</v>
      </c>
      <c r="F17" s="6" t="n">
        <v>81210.22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6" t="n">
        <v>81210.22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6" t="n">
        <v>81210.22</v>
      </c>
      <c r="U17" s="6" t="n">
        <v>81210.22</v>
      </c>
    </row>
    <row r="18" customFormat="false" ht="15" hidden="true" customHeight="false" outlineLevel="2" collapsed="false">
      <c r="A18" s="2" t="s">
        <v>34</v>
      </c>
      <c r="B18" s="2" t="s">
        <v>25</v>
      </c>
      <c r="C18" s="5" t="n">
        <v>41357</v>
      </c>
      <c r="D18" s="2" t="s">
        <v>35</v>
      </c>
      <c r="E18" s="2" t="s">
        <v>27</v>
      </c>
      <c r="F18" s="6" t="n">
        <v>358285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6" t="n">
        <v>358285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6" t="n">
        <v>358285</v>
      </c>
      <c r="U18" s="6" t="n">
        <v>358285</v>
      </c>
    </row>
    <row r="19" customFormat="false" ht="15" hidden="true" customHeight="false" outlineLevel="2" collapsed="false">
      <c r="A19" s="2" t="s">
        <v>36</v>
      </c>
      <c r="B19" s="2" t="s">
        <v>25</v>
      </c>
      <c r="C19" s="5" t="n">
        <v>32603</v>
      </c>
      <c r="D19" s="2" t="s">
        <v>37</v>
      </c>
      <c r="E19" s="2" t="s">
        <v>27</v>
      </c>
      <c r="F19" s="6" t="n">
        <v>2453507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6" t="n">
        <v>2453507</v>
      </c>
      <c r="M19" s="6" t="n">
        <v>-2453506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6" t="n">
        <v>-2453506</v>
      </c>
      <c r="T19" s="6" t="n">
        <v>1</v>
      </c>
      <c r="U19" s="6" t="n">
        <v>1</v>
      </c>
    </row>
    <row r="20" customFormat="false" ht="15" hidden="true" customHeight="false" outlineLevel="2" collapsed="false">
      <c r="A20" s="2" t="s">
        <v>38</v>
      </c>
      <c r="B20" s="2" t="s">
        <v>25</v>
      </c>
      <c r="C20" s="5" t="n">
        <v>41127</v>
      </c>
      <c r="D20" s="2" t="s">
        <v>39</v>
      </c>
      <c r="E20" s="2" t="s">
        <v>27</v>
      </c>
      <c r="F20" s="6" t="n">
        <v>1485141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6" t="n">
        <v>1485141</v>
      </c>
      <c r="M20" s="6" t="n">
        <v>-536300.92</v>
      </c>
      <c r="N20" s="6" t="n">
        <v>-45004.27</v>
      </c>
      <c r="O20" s="7" t="n">
        <v>0</v>
      </c>
      <c r="P20" s="7" t="n">
        <v>0</v>
      </c>
      <c r="Q20" s="7" t="n">
        <v>0</v>
      </c>
      <c r="R20" s="7" t="n">
        <v>0</v>
      </c>
      <c r="S20" s="6" t="n">
        <v>-581305.19</v>
      </c>
      <c r="T20" s="6" t="n">
        <v>948840.08</v>
      </c>
      <c r="U20" s="6" t="n">
        <v>903835.81</v>
      </c>
    </row>
    <row r="21" customFormat="false" ht="15" hidden="true" customHeight="false" outlineLevel="2" collapsed="false">
      <c r="A21" s="2" t="s">
        <v>40</v>
      </c>
      <c r="B21" s="2" t="s">
        <v>25</v>
      </c>
      <c r="C21" s="5" t="n">
        <v>41461</v>
      </c>
      <c r="D21" s="2" t="s">
        <v>39</v>
      </c>
      <c r="E21" s="2" t="s">
        <v>27</v>
      </c>
      <c r="F21" s="6" t="n">
        <v>952856.09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6" t="n">
        <v>952856.09</v>
      </c>
      <c r="M21" s="6" t="n">
        <v>-317618.7</v>
      </c>
      <c r="N21" s="6" t="n">
        <v>-28874.42</v>
      </c>
      <c r="O21" s="7" t="n">
        <v>0</v>
      </c>
      <c r="P21" s="7" t="n">
        <v>0</v>
      </c>
      <c r="Q21" s="7" t="n">
        <v>0</v>
      </c>
      <c r="R21" s="7" t="n">
        <v>0</v>
      </c>
      <c r="S21" s="6" t="n">
        <v>-346493.12</v>
      </c>
      <c r="T21" s="6" t="n">
        <v>635237.39</v>
      </c>
      <c r="U21" s="6" t="n">
        <v>606362.97</v>
      </c>
    </row>
    <row r="22" customFormat="false" ht="15" hidden="true" customHeight="false" outlineLevel="2" collapsed="false">
      <c r="A22" s="2" t="s">
        <v>41</v>
      </c>
      <c r="B22" s="2" t="s">
        <v>25</v>
      </c>
      <c r="C22" s="5" t="n">
        <v>41738</v>
      </c>
      <c r="D22" s="2" t="s">
        <v>42</v>
      </c>
      <c r="E22" s="2" t="s">
        <v>27</v>
      </c>
      <c r="F22" s="6" t="n">
        <v>374062.82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6" t="n">
        <v>374062.82</v>
      </c>
      <c r="M22" s="6" t="n">
        <v>-116186.18</v>
      </c>
      <c r="N22" s="6" t="n">
        <v>-11335.24</v>
      </c>
      <c r="O22" s="7" t="n">
        <v>0</v>
      </c>
      <c r="P22" s="7" t="n">
        <v>0</v>
      </c>
      <c r="Q22" s="7" t="n">
        <v>0</v>
      </c>
      <c r="R22" s="7" t="n">
        <v>0</v>
      </c>
      <c r="S22" s="6" t="n">
        <v>-127521.42</v>
      </c>
      <c r="T22" s="6" t="n">
        <v>257876.64</v>
      </c>
      <c r="U22" s="6" t="n">
        <v>246541.4</v>
      </c>
    </row>
    <row r="23" customFormat="false" ht="15" hidden="true" customHeight="false" outlineLevel="2" collapsed="false">
      <c r="A23" s="2" t="s">
        <v>41</v>
      </c>
      <c r="B23" s="2" t="s">
        <v>30</v>
      </c>
      <c r="C23" s="5" t="n">
        <v>43656</v>
      </c>
      <c r="D23" s="2" t="s">
        <v>43</v>
      </c>
      <c r="E23" s="2" t="s">
        <v>27</v>
      </c>
      <c r="F23" s="6" t="n">
        <v>86325.91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6" t="n">
        <v>86325.91</v>
      </c>
      <c r="M23" s="6" t="n">
        <v>-13079.68</v>
      </c>
      <c r="N23" s="6" t="n">
        <v>-2615.94</v>
      </c>
      <c r="O23" s="7" t="n">
        <v>0</v>
      </c>
      <c r="P23" s="7" t="n">
        <v>0</v>
      </c>
      <c r="Q23" s="7" t="n">
        <v>0</v>
      </c>
      <c r="R23" s="7" t="n">
        <v>0</v>
      </c>
      <c r="S23" s="6" t="n">
        <v>-15695.62</v>
      </c>
      <c r="T23" s="6" t="n">
        <v>73246.23</v>
      </c>
      <c r="U23" s="6" t="n">
        <v>70630.29</v>
      </c>
    </row>
    <row r="24" customFormat="false" ht="15" hidden="true" customHeight="false" outlineLevel="2" collapsed="false">
      <c r="A24" s="2" t="s">
        <v>44</v>
      </c>
      <c r="B24" s="2" t="s">
        <v>25</v>
      </c>
      <c r="C24" s="5" t="n">
        <v>44468</v>
      </c>
      <c r="D24" s="2" t="s">
        <v>39</v>
      </c>
      <c r="E24" s="2" t="s">
        <v>27</v>
      </c>
      <c r="F24" s="6" t="n">
        <v>266806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6" t="n">
        <v>266806</v>
      </c>
      <c r="M24" s="6" t="n">
        <v>-22907.59</v>
      </c>
      <c r="N24" s="6" t="n">
        <v>-8085.03</v>
      </c>
      <c r="O24" s="7" t="n">
        <v>0</v>
      </c>
      <c r="P24" s="7" t="n">
        <v>0</v>
      </c>
      <c r="Q24" s="7" t="n">
        <v>0</v>
      </c>
      <c r="R24" s="7" t="n">
        <v>0</v>
      </c>
      <c r="S24" s="6" t="n">
        <v>-30992.62</v>
      </c>
      <c r="T24" s="6" t="n">
        <v>243898.41</v>
      </c>
      <c r="U24" s="6" t="n">
        <v>235813.38</v>
      </c>
    </row>
    <row r="25" customFormat="false" ht="15" hidden="true" customHeight="false" outlineLevel="2" collapsed="false">
      <c r="A25" s="2" t="s">
        <v>45</v>
      </c>
      <c r="B25" s="2" t="s">
        <v>25</v>
      </c>
      <c r="C25" s="5" t="n">
        <v>39280</v>
      </c>
      <c r="D25" s="2" t="s">
        <v>46</v>
      </c>
      <c r="E25" s="2" t="s">
        <v>27</v>
      </c>
      <c r="F25" s="6" t="n">
        <v>183406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6" t="n">
        <v>183406</v>
      </c>
      <c r="M25" s="6" t="n">
        <v>-183405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6" t="n">
        <v>-183405</v>
      </c>
      <c r="T25" s="6" t="n">
        <v>1</v>
      </c>
      <c r="U25" s="6" t="n">
        <v>1</v>
      </c>
    </row>
    <row r="26" customFormat="false" ht="15" hidden="true" customHeight="false" outlineLevel="2" collapsed="false">
      <c r="A26" s="2" t="s">
        <v>47</v>
      </c>
      <c r="B26" s="2" t="s">
        <v>25</v>
      </c>
      <c r="C26" s="5" t="n">
        <v>42815</v>
      </c>
      <c r="D26" s="2" t="s">
        <v>48</v>
      </c>
      <c r="E26" s="2" t="s">
        <v>27</v>
      </c>
      <c r="F26" s="6" t="n">
        <v>381150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6" t="n">
        <v>381150</v>
      </c>
      <c r="M26" s="6" t="n">
        <v>-279510</v>
      </c>
      <c r="N26" s="6" t="n">
        <v>-38115</v>
      </c>
      <c r="O26" s="7" t="n">
        <v>0</v>
      </c>
      <c r="P26" s="7" t="n">
        <v>0</v>
      </c>
      <c r="Q26" s="7" t="n">
        <v>0</v>
      </c>
      <c r="R26" s="7" t="n">
        <v>0</v>
      </c>
      <c r="S26" s="6" t="n">
        <v>-317625</v>
      </c>
      <c r="T26" s="6" t="n">
        <v>101640</v>
      </c>
      <c r="U26" s="6" t="n">
        <v>63525</v>
      </c>
    </row>
    <row r="27" customFormat="false" ht="15" hidden="true" customHeight="false" outlineLevel="2" collapsed="false">
      <c r="A27" s="2" t="s">
        <v>47</v>
      </c>
      <c r="B27" s="2" t="s">
        <v>30</v>
      </c>
      <c r="C27" s="5" t="n">
        <v>43380</v>
      </c>
      <c r="D27" s="2" t="s">
        <v>49</v>
      </c>
      <c r="E27" s="2" t="s">
        <v>27</v>
      </c>
      <c r="F27" s="6" t="n">
        <v>28562.46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6" t="n">
        <v>28562.46</v>
      </c>
      <c r="M27" s="6" t="n">
        <v>-16423.41</v>
      </c>
      <c r="N27" s="6" t="n">
        <v>-2856.25</v>
      </c>
      <c r="O27" s="7" t="n">
        <v>0</v>
      </c>
      <c r="P27" s="7" t="n">
        <v>0</v>
      </c>
      <c r="Q27" s="7" t="n">
        <v>0</v>
      </c>
      <c r="R27" s="7" t="n">
        <v>0</v>
      </c>
      <c r="S27" s="6" t="n">
        <v>-19279.66</v>
      </c>
      <c r="T27" s="6" t="n">
        <v>12139.05</v>
      </c>
      <c r="U27" s="6" t="n">
        <v>9282.8</v>
      </c>
    </row>
    <row r="28" customFormat="false" ht="15" hidden="true" customHeight="false" outlineLevel="2" collapsed="false">
      <c r="A28" s="2" t="s">
        <v>50</v>
      </c>
      <c r="B28" s="2" t="s">
        <v>25</v>
      </c>
      <c r="C28" s="5" t="n">
        <v>43569</v>
      </c>
      <c r="D28" s="2" t="s">
        <v>51</v>
      </c>
      <c r="E28" s="2" t="s">
        <v>27</v>
      </c>
      <c r="F28" s="6" t="n">
        <v>18297.61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6" t="n">
        <v>18297.61</v>
      </c>
      <c r="M28" s="6" t="n">
        <v>-6404.16</v>
      </c>
      <c r="N28" s="6" t="n">
        <v>-1219.84</v>
      </c>
      <c r="O28" s="7" t="n">
        <v>0</v>
      </c>
      <c r="P28" s="7" t="n">
        <v>0</v>
      </c>
      <c r="Q28" s="7" t="n">
        <v>0</v>
      </c>
      <c r="R28" s="7" t="n">
        <v>0</v>
      </c>
      <c r="S28" s="6" t="n">
        <v>-7624</v>
      </c>
      <c r="T28" s="6" t="n">
        <v>11893.45</v>
      </c>
      <c r="U28" s="6" t="n">
        <v>10673.61</v>
      </c>
    </row>
    <row r="29" customFormat="false" ht="15" hidden="true" customHeight="false" outlineLevel="2" collapsed="false">
      <c r="A29" s="2" t="s">
        <v>52</v>
      </c>
      <c r="B29" s="2" t="s">
        <v>25</v>
      </c>
      <c r="C29" s="5" t="n">
        <v>45725</v>
      </c>
      <c r="D29" s="2" t="s">
        <v>53</v>
      </c>
      <c r="E29" s="2" t="s">
        <v>27</v>
      </c>
      <c r="F29" s="7" t="n">
        <v>0</v>
      </c>
      <c r="G29" s="7" t="n">
        <v>0</v>
      </c>
      <c r="H29" s="7" t="n">
        <v>0</v>
      </c>
      <c r="I29" s="6" t="n">
        <v>96228.83</v>
      </c>
      <c r="J29" s="7" t="n">
        <v>0</v>
      </c>
      <c r="K29" s="7" t="n">
        <v>0</v>
      </c>
      <c r="L29" s="6" t="n">
        <v>96228.83</v>
      </c>
      <c r="M29" s="7" t="n">
        <v>0</v>
      </c>
      <c r="N29" s="6" t="n">
        <v>-2138.42</v>
      </c>
      <c r="O29" s="7" t="n">
        <v>0</v>
      </c>
      <c r="P29" s="7" t="n">
        <v>0</v>
      </c>
      <c r="Q29" s="7" t="n">
        <v>0</v>
      </c>
      <c r="R29" s="7" t="n">
        <v>0</v>
      </c>
      <c r="S29" s="6" t="n">
        <v>-2138.42</v>
      </c>
      <c r="T29" s="7" t="n">
        <v>0</v>
      </c>
      <c r="U29" s="6" t="n">
        <v>94090.41</v>
      </c>
    </row>
    <row r="30" customFormat="false" ht="15" hidden="true" customHeight="false" outlineLevel="2" collapsed="false">
      <c r="A30" s="2" t="s">
        <v>54</v>
      </c>
      <c r="B30" s="2" t="s">
        <v>25</v>
      </c>
      <c r="C30" s="5" t="n">
        <v>45816</v>
      </c>
      <c r="D30" s="2" t="s">
        <v>55</v>
      </c>
      <c r="E30" s="2" t="s">
        <v>27</v>
      </c>
      <c r="F30" s="7" t="n">
        <v>0</v>
      </c>
      <c r="G30" s="6" t="n">
        <v>26561.17</v>
      </c>
      <c r="H30" s="7" t="n">
        <v>0</v>
      </c>
      <c r="I30" s="7" t="n">
        <v>0</v>
      </c>
      <c r="J30" s="7" t="n">
        <v>0</v>
      </c>
      <c r="K30" s="7" t="n">
        <v>0</v>
      </c>
      <c r="L30" s="6" t="n">
        <v>26561.17</v>
      </c>
      <c r="M30" s="7" t="n">
        <v>0</v>
      </c>
      <c r="N30" s="6" t="n">
        <v>-147.56</v>
      </c>
      <c r="O30" s="7" t="n">
        <v>0</v>
      </c>
      <c r="P30" s="7" t="n">
        <v>0</v>
      </c>
      <c r="Q30" s="7" t="n">
        <v>0</v>
      </c>
      <c r="R30" s="7" t="n">
        <v>0</v>
      </c>
      <c r="S30" s="6" t="n">
        <v>-147.56</v>
      </c>
      <c r="T30" s="7" t="n">
        <v>0</v>
      </c>
      <c r="U30" s="6" t="n">
        <v>26413.61</v>
      </c>
    </row>
    <row r="31" customFormat="false" ht="15" hidden="true" customHeight="false" outlineLevel="2" collapsed="false">
      <c r="A31" s="2" t="s">
        <v>56</v>
      </c>
      <c r="B31" s="2" t="s">
        <v>25</v>
      </c>
      <c r="C31" s="5" t="n">
        <v>37494</v>
      </c>
      <c r="D31" s="2" t="s">
        <v>57</v>
      </c>
      <c r="E31" s="2" t="s">
        <v>27</v>
      </c>
      <c r="F31" s="6" t="n">
        <v>123061.32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6" t="n">
        <v>123061.32</v>
      </c>
      <c r="M31" s="6" t="n">
        <v>-123060.32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6" t="n">
        <v>-123060.32</v>
      </c>
      <c r="T31" s="6" t="n">
        <v>1</v>
      </c>
      <c r="U31" s="6" t="n">
        <v>1</v>
      </c>
    </row>
    <row r="32" customFormat="false" ht="15" hidden="true" customHeight="false" outlineLevel="2" collapsed="false">
      <c r="A32" s="2" t="s">
        <v>58</v>
      </c>
      <c r="B32" s="2" t="s">
        <v>25</v>
      </c>
      <c r="C32" s="5" t="n">
        <v>40273</v>
      </c>
      <c r="D32" s="2" t="s">
        <v>59</v>
      </c>
      <c r="E32" s="2" t="s">
        <v>27</v>
      </c>
      <c r="F32" s="6" t="n">
        <v>42302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6" t="n">
        <v>42302</v>
      </c>
      <c r="M32" s="6" t="n">
        <v>-40186.9</v>
      </c>
      <c r="N32" s="6" t="n">
        <v>-2114.1</v>
      </c>
      <c r="O32" s="7" t="n">
        <v>0</v>
      </c>
      <c r="P32" s="7" t="n">
        <v>0</v>
      </c>
      <c r="Q32" s="7" t="n">
        <v>0</v>
      </c>
      <c r="R32" s="7" t="n">
        <v>0</v>
      </c>
      <c r="S32" s="6" t="n">
        <v>-42301</v>
      </c>
      <c r="T32" s="6" t="n">
        <v>2115.1</v>
      </c>
      <c r="U32" s="6" t="n">
        <v>1</v>
      </c>
    </row>
    <row r="33" customFormat="false" ht="15" hidden="true" customHeight="false" outlineLevel="2" collapsed="false">
      <c r="A33" s="2" t="s">
        <v>60</v>
      </c>
      <c r="B33" s="2" t="s">
        <v>25</v>
      </c>
      <c r="C33" s="5" t="n">
        <v>44116</v>
      </c>
      <c r="D33" s="2" t="s">
        <v>61</v>
      </c>
      <c r="E33" s="2" t="s">
        <v>27</v>
      </c>
      <c r="F33" s="6" t="n">
        <v>18943.94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6" t="n">
        <v>18943.94</v>
      </c>
      <c r="M33" s="6" t="n">
        <v>-7103.98</v>
      </c>
      <c r="N33" s="6" t="n">
        <v>-1894.39</v>
      </c>
      <c r="O33" s="7" t="n">
        <v>0</v>
      </c>
      <c r="P33" s="7" t="n">
        <v>0</v>
      </c>
      <c r="Q33" s="7" t="n">
        <v>0</v>
      </c>
      <c r="R33" s="7" t="n">
        <v>0</v>
      </c>
      <c r="S33" s="6" t="n">
        <v>-8998.37</v>
      </c>
      <c r="T33" s="6" t="n">
        <v>11839.96</v>
      </c>
      <c r="U33" s="6" t="n">
        <v>9945.57</v>
      </c>
    </row>
    <row r="34" customFormat="false" ht="15" hidden="true" customHeight="false" outlineLevel="2" collapsed="false">
      <c r="A34" s="2" t="s">
        <v>62</v>
      </c>
      <c r="B34" s="2" t="s">
        <v>25</v>
      </c>
      <c r="C34" s="5" t="n">
        <v>45302</v>
      </c>
      <c r="D34" s="2" t="s">
        <v>59</v>
      </c>
      <c r="E34" s="2" t="s">
        <v>27</v>
      </c>
      <c r="F34" s="6" t="n">
        <v>300047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6" t="n">
        <v>300047</v>
      </c>
      <c r="M34" s="6" t="n">
        <v>-7501.18</v>
      </c>
      <c r="N34" s="6" t="n">
        <v>-15002.35</v>
      </c>
      <c r="O34" s="7" t="n">
        <v>0</v>
      </c>
      <c r="P34" s="7" t="n">
        <v>0</v>
      </c>
      <c r="Q34" s="7" t="n">
        <v>0</v>
      </c>
      <c r="R34" s="7" t="n">
        <v>0</v>
      </c>
      <c r="S34" s="6" t="n">
        <v>-22503.53</v>
      </c>
      <c r="T34" s="6" t="n">
        <v>292545.82</v>
      </c>
      <c r="U34" s="6" t="n">
        <v>277543.47</v>
      </c>
    </row>
    <row r="35" customFormat="false" ht="15" hidden="true" customHeight="false" outlineLevel="2" collapsed="false">
      <c r="A35" s="2" t="s">
        <v>63</v>
      </c>
      <c r="B35" s="2" t="s">
        <v>25</v>
      </c>
      <c r="C35" s="5" t="n">
        <v>45369</v>
      </c>
      <c r="D35" s="2" t="s">
        <v>64</v>
      </c>
      <c r="E35" s="2" t="s">
        <v>27</v>
      </c>
      <c r="F35" s="6" t="n">
        <v>48308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6" t="n">
        <v>48308</v>
      </c>
      <c r="M35" s="6" t="n">
        <v>-1073.51</v>
      </c>
      <c r="N35" s="6" t="n">
        <v>-3220.53</v>
      </c>
      <c r="O35" s="7" t="n">
        <v>0</v>
      </c>
      <c r="P35" s="7" t="n">
        <v>0</v>
      </c>
      <c r="Q35" s="7" t="n">
        <v>0</v>
      </c>
      <c r="R35" s="7" t="n">
        <v>0</v>
      </c>
      <c r="S35" s="6" t="n">
        <v>-4294.04</v>
      </c>
      <c r="T35" s="6" t="n">
        <v>47234.49</v>
      </c>
      <c r="U35" s="6" t="n">
        <v>44013.96</v>
      </c>
    </row>
    <row r="36" customFormat="false" ht="15" hidden="true" customHeight="false" outlineLevel="2" collapsed="false">
      <c r="A36" s="2" t="s">
        <v>65</v>
      </c>
      <c r="B36" s="2" t="s">
        <v>25</v>
      </c>
      <c r="C36" s="5" t="n">
        <v>41546</v>
      </c>
      <c r="D36" s="2" t="s">
        <v>66</v>
      </c>
      <c r="E36" s="2" t="s">
        <v>27</v>
      </c>
      <c r="F36" s="6" t="n">
        <v>4031.13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6" t="n">
        <v>4031.13</v>
      </c>
      <c r="M36" s="6" t="n">
        <v>-4030.13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0</v>
      </c>
      <c r="S36" s="6" t="n">
        <v>-4030.13</v>
      </c>
      <c r="T36" s="6" t="n">
        <v>1</v>
      </c>
      <c r="U36" s="6" t="n">
        <v>1</v>
      </c>
    </row>
    <row r="37" customFormat="false" ht="15" hidden="true" customHeight="false" outlineLevel="2" collapsed="false">
      <c r="A37" s="2" t="s">
        <v>67</v>
      </c>
      <c r="B37" s="2" t="s">
        <v>25</v>
      </c>
      <c r="C37" s="5" t="n">
        <v>42183</v>
      </c>
      <c r="D37" s="2" t="s">
        <v>68</v>
      </c>
      <c r="E37" s="2" t="s">
        <v>27</v>
      </c>
      <c r="F37" s="6" t="n">
        <v>39914.67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6" t="n">
        <v>39914.67</v>
      </c>
      <c r="M37" s="6" t="n">
        <v>-39913.67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6" t="n">
        <v>-39913.67</v>
      </c>
      <c r="T37" s="6" t="n">
        <v>1</v>
      </c>
      <c r="U37" s="6" t="n">
        <v>1</v>
      </c>
    </row>
    <row r="38" customFormat="false" ht="15" hidden="true" customHeight="false" outlineLevel="2" collapsed="false">
      <c r="A38" s="2" t="s">
        <v>69</v>
      </c>
      <c r="B38" s="2" t="s">
        <v>25</v>
      </c>
      <c r="C38" s="5" t="n">
        <v>42444</v>
      </c>
      <c r="D38" s="2" t="s">
        <v>66</v>
      </c>
      <c r="E38" s="2" t="s">
        <v>27</v>
      </c>
      <c r="F38" s="6" t="n">
        <v>946.25</v>
      </c>
      <c r="G38" s="7" t="n">
        <v>0</v>
      </c>
      <c r="H38" s="6" t="n">
        <v>-946.25</v>
      </c>
      <c r="I38" s="7" t="n">
        <v>0</v>
      </c>
      <c r="J38" s="7" t="n">
        <v>0</v>
      </c>
      <c r="K38" s="7" t="n">
        <v>0</v>
      </c>
      <c r="L38" s="7" t="n">
        <v>0</v>
      </c>
      <c r="M38" s="6" t="n">
        <v>-945.25</v>
      </c>
      <c r="N38" s="7" t="n">
        <v>0</v>
      </c>
      <c r="O38" s="6" t="n">
        <v>945.25</v>
      </c>
      <c r="P38" s="7" t="n">
        <v>0</v>
      </c>
      <c r="Q38" s="7" t="n">
        <v>0</v>
      </c>
      <c r="R38" s="7" t="n">
        <v>0</v>
      </c>
      <c r="S38" s="7" t="n">
        <v>0</v>
      </c>
      <c r="T38" s="6" t="n">
        <v>1</v>
      </c>
      <c r="U38" s="7" t="n">
        <v>0</v>
      </c>
    </row>
    <row r="39" customFormat="false" ht="15" hidden="true" customHeight="false" outlineLevel="2" collapsed="false">
      <c r="A39" s="2" t="s">
        <v>70</v>
      </c>
      <c r="B39" s="2" t="s">
        <v>25</v>
      </c>
      <c r="C39" s="5" t="n">
        <v>44495</v>
      </c>
      <c r="D39" s="2" t="s">
        <v>71</v>
      </c>
      <c r="E39" s="2" t="s">
        <v>27</v>
      </c>
      <c r="F39" s="6" t="n">
        <v>3031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6" t="n">
        <v>3031</v>
      </c>
      <c r="M39" s="6" t="n">
        <v>-1041.91</v>
      </c>
      <c r="N39" s="6" t="n">
        <v>-378.87</v>
      </c>
      <c r="O39" s="7" t="n">
        <v>0</v>
      </c>
      <c r="P39" s="7" t="n">
        <v>0</v>
      </c>
      <c r="Q39" s="7" t="n">
        <v>0</v>
      </c>
      <c r="R39" s="7" t="n">
        <v>0</v>
      </c>
      <c r="S39" s="6" t="n">
        <v>-1420.78</v>
      </c>
      <c r="T39" s="6" t="n">
        <v>1989.09</v>
      </c>
      <c r="U39" s="6" t="n">
        <v>1610.22</v>
      </c>
    </row>
    <row r="40" customFormat="false" ht="15" hidden="true" customHeight="false" outlineLevel="2" collapsed="false">
      <c r="A40" s="2" t="s">
        <v>70</v>
      </c>
      <c r="B40" s="2" t="s">
        <v>30</v>
      </c>
      <c r="C40" s="5" t="n">
        <v>45671</v>
      </c>
      <c r="D40" s="2" t="s">
        <v>72</v>
      </c>
      <c r="E40" s="2" t="s">
        <v>27</v>
      </c>
      <c r="F40" s="7" t="n">
        <v>0</v>
      </c>
      <c r="G40" s="6" t="n">
        <v>900.94</v>
      </c>
      <c r="H40" s="7" t="n">
        <v>0</v>
      </c>
      <c r="I40" s="7" t="n">
        <v>0</v>
      </c>
      <c r="J40" s="7" t="n">
        <v>0</v>
      </c>
      <c r="K40" s="7" t="n">
        <v>0</v>
      </c>
      <c r="L40" s="6" t="n">
        <v>900.94</v>
      </c>
      <c r="M40" s="7" t="n">
        <v>0</v>
      </c>
      <c r="N40" s="6" t="n">
        <v>-56.31</v>
      </c>
      <c r="O40" s="7" t="n">
        <v>0</v>
      </c>
      <c r="P40" s="7" t="n">
        <v>0</v>
      </c>
      <c r="Q40" s="7" t="n">
        <v>0</v>
      </c>
      <c r="R40" s="7" t="n">
        <v>0</v>
      </c>
      <c r="S40" s="6" t="n">
        <v>-56.31</v>
      </c>
      <c r="T40" s="7" t="n">
        <v>0</v>
      </c>
      <c r="U40" s="6" t="n">
        <v>844.63</v>
      </c>
    </row>
    <row r="41" customFormat="false" ht="15" hidden="true" customHeight="false" outlineLevel="2" collapsed="false">
      <c r="A41" s="2" t="s">
        <v>73</v>
      </c>
      <c r="B41" s="2" t="s">
        <v>25</v>
      </c>
      <c r="C41" s="5" t="n">
        <v>45612</v>
      </c>
      <c r="D41" s="2" t="s">
        <v>74</v>
      </c>
      <c r="E41" s="2" t="s">
        <v>27</v>
      </c>
      <c r="F41" s="7" t="n">
        <v>0</v>
      </c>
      <c r="G41" s="6" t="n">
        <v>826</v>
      </c>
      <c r="H41" s="7" t="n">
        <v>0</v>
      </c>
      <c r="I41" s="7" t="n">
        <v>0</v>
      </c>
      <c r="J41" s="7" t="n">
        <v>0</v>
      </c>
      <c r="K41" s="7" t="n">
        <v>0</v>
      </c>
      <c r="L41" s="6" t="n">
        <v>826</v>
      </c>
      <c r="M41" s="7" t="n">
        <v>0</v>
      </c>
      <c r="N41" s="6" t="n">
        <v>-55.07</v>
      </c>
      <c r="O41" s="7" t="n">
        <v>0</v>
      </c>
      <c r="P41" s="7" t="n">
        <v>0</v>
      </c>
      <c r="Q41" s="7" t="n">
        <v>0</v>
      </c>
      <c r="R41" s="7" t="n">
        <v>0</v>
      </c>
      <c r="S41" s="6" t="n">
        <v>-55.07</v>
      </c>
      <c r="T41" s="7" t="n">
        <v>0</v>
      </c>
      <c r="U41" s="6" t="n">
        <v>770.93</v>
      </c>
    </row>
    <row r="42" customFormat="false" ht="15" hidden="true" customHeight="false" outlineLevel="2" collapsed="false">
      <c r="A42" s="2" t="s">
        <v>75</v>
      </c>
      <c r="B42" s="2" t="s">
        <v>25</v>
      </c>
      <c r="C42" s="5" t="n">
        <v>39332</v>
      </c>
      <c r="D42" s="2" t="s">
        <v>76</v>
      </c>
      <c r="E42" s="2" t="s">
        <v>27</v>
      </c>
      <c r="F42" s="6" t="n">
        <v>14344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6" t="n">
        <v>14344</v>
      </c>
      <c r="M42" s="6" t="n">
        <v>-14343</v>
      </c>
      <c r="N42" s="7" t="n">
        <v>0</v>
      </c>
      <c r="O42" s="7" t="n">
        <v>0</v>
      </c>
      <c r="P42" s="7" t="n">
        <v>0</v>
      </c>
      <c r="Q42" s="7" t="n">
        <v>0</v>
      </c>
      <c r="R42" s="7" t="n">
        <v>0</v>
      </c>
      <c r="S42" s="6" t="n">
        <v>-14343</v>
      </c>
      <c r="T42" s="6" t="n">
        <v>1</v>
      </c>
      <c r="U42" s="6" t="n">
        <v>1</v>
      </c>
    </row>
    <row r="43" customFormat="false" ht="15" hidden="true" customHeight="false" outlineLevel="2" collapsed="false">
      <c r="A43" s="2" t="s">
        <v>77</v>
      </c>
      <c r="B43" s="2" t="s">
        <v>25</v>
      </c>
      <c r="C43" s="5" t="n">
        <v>42150</v>
      </c>
      <c r="D43" s="2" t="s">
        <v>78</v>
      </c>
      <c r="E43" s="2" t="s">
        <v>27</v>
      </c>
      <c r="F43" s="6" t="n">
        <v>14666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6" t="n">
        <v>14666</v>
      </c>
      <c r="M43" s="6" t="n">
        <v>-10341.41</v>
      </c>
      <c r="N43" s="6" t="n">
        <v>-1128.15</v>
      </c>
      <c r="O43" s="7" t="n">
        <v>0</v>
      </c>
      <c r="P43" s="7" t="n">
        <v>0</v>
      </c>
      <c r="Q43" s="7" t="n">
        <v>0</v>
      </c>
      <c r="R43" s="7" t="n">
        <v>0</v>
      </c>
      <c r="S43" s="6" t="n">
        <v>-11469.56</v>
      </c>
      <c r="T43" s="6" t="n">
        <v>4324.59</v>
      </c>
      <c r="U43" s="6" t="n">
        <v>3196.44</v>
      </c>
    </row>
    <row r="44" customFormat="false" ht="15" hidden="true" customHeight="false" outlineLevel="2" collapsed="false">
      <c r="A44" s="2" t="s">
        <v>79</v>
      </c>
      <c r="B44" s="2" t="s">
        <v>25</v>
      </c>
      <c r="C44" s="5" t="n">
        <v>44773</v>
      </c>
      <c r="D44" s="2" t="s">
        <v>80</v>
      </c>
      <c r="E44" s="2" t="s">
        <v>27</v>
      </c>
      <c r="F44" s="6" t="n">
        <v>5843.4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6" t="n">
        <v>5843.4</v>
      </c>
      <c r="M44" s="6" t="n">
        <v>-898.98</v>
      </c>
      <c r="N44" s="6" t="n">
        <v>-449.5</v>
      </c>
      <c r="O44" s="7" t="n">
        <v>0</v>
      </c>
      <c r="P44" s="7" t="n">
        <v>0</v>
      </c>
      <c r="Q44" s="7" t="n">
        <v>0</v>
      </c>
      <c r="R44" s="7" t="n">
        <v>0</v>
      </c>
      <c r="S44" s="6" t="n">
        <v>-1348.48</v>
      </c>
      <c r="T44" s="6" t="n">
        <v>4944.42</v>
      </c>
      <c r="U44" s="6" t="n">
        <v>4494.92</v>
      </c>
    </row>
    <row r="45" customFormat="false" ht="15" hidden="true" customHeight="false" outlineLevel="2" collapsed="false">
      <c r="A45" s="2" t="s">
        <v>79</v>
      </c>
      <c r="B45" s="2" t="s">
        <v>30</v>
      </c>
      <c r="C45" s="5" t="n">
        <v>45629</v>
      </c>
      <c r="D45" s="2" t="s">
        <v>81</v>
      </c>
      <c r="E45" s="2" t="s">
        <v>27</v>
      </c>
      <c r="F45" s="7" t="n">
        <v>0</v>
      </c>
      <c r="G45" s="6" t="n">
        <v>1568.26</v>
      </c>
      <c r="H45" s="7" t="n">
        <v>0</v>
      </c>
      <c r="I45" s="7" t="n">
        <v>0</v>
      </c>
      <c r="J45" s="7" t="n">
        <v>0</v>
      </c>
      <c r="K45" s="7" t="n">
        <v>0</v>
      </c>
      <c r="L45" s="6" t="n">
        <v>1568.26</v>
      </c>
      <c r="M45" s="7" t="n">
        <v>0</v>
      </c>
      <c r="N45" s="6" t="n">
        <v>-70.37</v>
      </c>
      <c r="O45" s="7" t="n">
        <v>0</v>
      </c>
      <c r="P45" s="7" t="n">
        <v>0</v>
      </c>
      <c r="Q45" s="7" t="n">
        <v>0</v>
      </c>
      <c r="R45" s="7" t="n">
        <v>0</v>
      </c>
      <c r="S45" s="6" t="n">
        <v>-70.37</v>
      </c>
      <c r="T45" s="7" t="n">
        <v>0</v>
      </c>
      <c r="U45" s="6" t="n">
        <v>1497.89</v>
      </c>
    </row>
    <row r="46" customFormat="false" ht="15" hidden="true" customHeight="false" outlineLevel="2" collapsed="false">
      <c r="A46" s="2" t="s">
        <v>82</v>
      </c>
      <c r="B46" s="2" t="s">
        <v>25</v>
      </c>
      <c r="C46" s="5" t="n">
        <v>44835</v>
      </c>
      <c r="D46" s="2" t="s">
        <v>83</v>
      </c>
      <c r="E46" s="2" t="s">
        <v>27</v>
      </c>
      <c r="F46" s="6" t="n">
        <v>2443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6" t="n">
        <v>2443</v>
      </c>
      <c r="M46" s="6" t="n">
        <v>-328.87</v>
      </c>
      <c r="N46" s="6" t="n">
        <v>-187.92</v>
      </c>
      <c r="O46" s="7" t="n">
        <v>0</v>
      </c>
      <c r="P46" s="7" t="n">
        <v>0</v>
      </c>
      <c r="Q46" s="7" t="n">
        <v>0</v>
      </c>
      <c r="R46" s="7" t="n">
        <v>0</v>
      </c>
      <c r="S46" s="6" t="n">
        <v>-516.79</v>
      </c>
      <c r="T46" s="6" t="n">
        <v>2114.13</v>
      </c>
      <c r="U46" s="6" t="n">
        <v>1926.21</v>
      </c>
    </row>
    <row r="47" customFormat="false" ht="15" hidden="true" customHeight="false" outlineLevel="2" collapsed="false">
      <c r="A47" s="2" t="s">
        <v>82</v>
      </c>
      <c r="B47" s="2" t="s">
        <v>30</v>
      </c>
      <c r="C47" s="5" t="n">
        <v>45129</v>
      </c>
      <c r="D47" s="2" t="s">
        <v>84</v>
      </c>
      <c r="E47" s="2" t="s">
        <v>27</v>
      </c>
      <c r="F47" s="6" t="n">
        <v>557.05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6" t="n">
        <v>557.05</v>
      </c>
      <c r="M47" s="6" t="n">
        <v>-42.85</v>
      </c>
      <c r="N47" s="6" t="n">
        <v>-42.85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-85.7</v>
      </c>
      <c r="T47" s="6" t="n">
        <v>514.2</v>
      </c>
      <c r="U47" s="6" t="n">
        <v>471.35</v>
      </c>
    </row>
    <row r="48" customFormat="false" ht="15" hidden="true" customHeight="false" outlineLevel="2" collapsed="false">
      <c r="A48" s="2" t="s">
        <v>85</v>
      </c>
      <c r="B48" s="2" t="s">
        <v>25</v>
      </c>
      <c r="C48" s="5" t="n">
        <v>41406</v>
      </c>
      <c r="D48" s="2" t="s">
        <v>86</v>
      </c>
      <c r="E48" s="2" t="s">
        <v>27</v>
      </c>
      <c r="F48" s="6" t="n">
        <v>37582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6" t="n">
        <v>37582</v>
      </c>
      <c r="M48" s="6" t="n">
        <v>-37581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6" t="n">
        <v>-37581</v>
      </c>
      <c r="T48" s="6" t="n">
        <v>1</v>
      </c>
      <c r="U48" s="6" t="n">
        <v>1</v>
      </c>
    </row>
    <row r="49" customFormat="false" ht="15" hidden="true" customHeight="false" outlineLevel="2" collapsed="false">
      <c r="A49" s="2" t="s">
        <v>87</v>
      </c>
      <c r="B49" s="2" t="s">
        <v>25</v>
      </c>
      <c r="C49" s="5" t="n">
        <v>42008</v>
      </c>
      <c r="D49" s="2" t="s">
        <v>88</v>
      </c>
      <c r="E49" s="2" t="s">
        <v>27</v>
      </c>
      <c r="F49" s="6" t="n">
        <v>18548.35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6" t="n">
        <v>18548.35</v>
      </c>
      <c r="M49" s="6" t="n">
        <v>-18547.35</v>
      </c>
      <c r="N49" s="7" t="n">
        <v>0</v>
      </c>
      <c r="O49" s="7" t="n">
        <v>0</v>
      </c>
      <c r="P49" s="7" t="n">
        <v>0</v>
      </c>
      <c r="Q49" s="7" t="n">
        <v>0</v>
      </c>
      <c r="R49" s="7" t="n">
        <v>0</v>
      </c>
      <c r="S49" s="6" t="n">
        <v>-18547.35</v>
      </c>
      <c r="T49" s="6" t="n">
        <v>1</v>
      </c>
      <c r="U49" s="6" t="n">
        <v>1</v>
      </c>
    </row>
    <row r="50" customFormat="false" ht="15" hidden="true" customHeight="false" outlineLevel="2" collapsed="false">
      <c r="A50" s="2" t="s">
        <v>89</v>
      </c>
      <c r="B50" s="2" t="s">
        <v>25</v>
      </c>
      <c r="C50" s="5" t="n">
        <v>43063</v>
      </c>
      <c r="D50" s="2" t="s">
        <v>86</v>
      </c>
      <c r="E50" s="2" t="s">
        <v>27</v>
      </c>
      <c r="F50" s="6" t="n">
        <v>29422.4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6" t="n">
        <v>29422.4</v>
      </c>
      <c r="M50" s="6" t="n">
        <v>-29421.4</v>
      </c>
      <c r="N50" s="7" t="n">
        <v>0</v>
      </c>
      <c r="O50" s="7" t="n">
        <v>0</v>
      </c>
      <c r="P50" s="7" t="n">
        <v>0</v>
      </c>
      <c r="Q50" s="7" t="n">
        <v>0</v>
      </c>
      <c r="R50" s="7" t="n">
        <v>0</v>
      </c>
      <c r="S50" s="6" t="n">
        <v>-29421.4</v>
      </c>
      <c r="T50" s="6" t="n">
        <v>1</v>
      </c>
      <c r="U50" s="6" t="n">
        <v>1</v>
      </c>
    </row>
    <row r="51" customFormat="false" ht="15" hidden="true" customHeight="false" outlineLevel="2" collapsed="false">
      <c r="A51" s="2" t="s">
        <v>90</v>
      </c>
      <c r="B51" s="2" t="s">
        <v>25</v>
      </c>
      <c r="C51" s="5" t="n">
        <v>45669</v>
      </c>
      <c r="D51" s="2" t="s">
        <v>91</v>
      </c>
      <c r="E51" s="2" t="s">
        <v>27</v>
      </c>
      <c r="F51" s="7" t="n">
        <v>0</v>
      </c>
      <c r="G51" s="6" t="n">
        <v>34457.91</v>
      </c>
      <c r="H51" s="7" t="n">
        <v>0</v>
      </c>
      <c r="I51" s="7" t="n">
        <v>0</v>
      </c>
      <c r="J51" s="7" t="n">
        <v>0</v>
      </c>
      <c r="K51" s="7" t="n">
        <v>0</v>
      </c>
      <c r="L51" s="6" t="n">
        <v>34457.91</v>
      </c>
      <c r="M51" s="7" t="n">
        <v>0</v>
      </c>
      <c r="N51" s="6" t="n">
        <v>-2871.49</v>
      </c>
      <c r="O51" s="7" t="n">
        <v>0</v>
      </c>
      <c r="P51" s="7" t="n">
        <v>0</v>
      </c>
      <c r="Q51" s="7" t="n">
        <v>0</v>
      </c>
      <c r="R51" s="7" t="n">
        <v>0</v>
      </c>
      <c r="S51" s="6" t="n">
        <v>-2871.49</v>
      </c>
      <c r="T51" s="7" t="n">
        <v>0</v>
      </c>
      <c r="U51" s="6" t="n">
        <v>31586.42</v>
      </c>
    </row>
    <row r="52" customFormat="false" ht="15" hidden="true" customHeight="false" outlineLevel="2" collapsed="false">
      <c r="A52" s="2" t="s">
        <v>92</v>
      </c>
      <c r="B52" s="2" t="s">
        <v>25</v>
      </c>
      <c r="C52" s="5" t="n">
        <v>39392</v>
      </c>
      <c r="D52" s="2" t="s">
        <v>93</v>
      </c>
      <c r="E52" s="2" t="s">
        <v>27</v>
      </c>
      <c r="F52" s="6" t="n">
        <v>112508.88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6" t="n">
        <v>112508.88</v>
      </c>
      <c r="M52" s="6" t="n">
        <v>-112507.88</v>
      </c>
      <c r="N52" s="7" t="n">
        <v>0</v>
      </c>
      <c r="O52" s="7" t="n">
        <v>0</v>
      </c>
      <c r="P52" s="7" t="n">
        <v>0</v>
      </c>
      <c r="Q52" s="7" t="n">
        <v>0</v>
      </c>
      <c r="R52" s="7" t="n">
        <v>0</v>
      </c>
      <c r="S52" s="6" t="n">
        <v>-112507.88</v>
      </c>
      <c r="T52" s="6" t="n">
        <v>1</v>
      </c>
      <c r="U52" s="6" t="n">
        <v>1</v>
      </c>
    </row>
    <row r="53" customFormat="false" ht="15" hidden="true" customHeight="false" outlineLevel="2" collapsed="false">
      <c r="A53" s="2" t="s">
        <v>94</v>
      </c>
      <c r="B53" s="2" t="s">
        <v>25</v>
      </c>
      <c r="C53" s="5" t="n">
        <v>40603</v>
      </c>
      <c r="D53" s="2" t="s">
        <v>93</v>
      </c>
      <c r="E53" s="2" t="s">
        <v>27</v>
      </c>
      <c r="F53" s="6" t="n">
        <v>38794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6" t="n">
        <v>38794</v>
      </c>
      <c r="M53" s="6" t="n">
        <v>-38793</v>
      </c>
      <c r="N53" s="7" t="n">
        <v>0</v>
      </c>
      <c r="O53" s="7" t="n">
        <v>0</v>
      </c>
      <c r="P53" s="7" t="n">
        <v>0</v>
      </c>
      <c r="Q53" s="7" t="n">
        <v>0</v>
      </c>
      <c r="R53" s="7" t="n">
        <v>0</v>
      </c>
      <c r="S53" s="6" t="n">
        <v>-38793</v>
      </c>
      <c r="T53" s="6" t="n">
        <v>1</v>
      </c>
      <c r="U53" s="6" t="n">
        <v>1</v>
      </c>
    </row>
    <row r="54" customFormat="false" ht="15" hidden="true" customHeight="false" outlineLevel="2" collapsed="false">
      <c r="A54" s="2" t="s">
        <v>95</v>
      </c>
      <c r="B54" s="2" t="s">
        <v>25</v>
      </c>
      <c r="C54" s="5" t="n">
        <v>41205</v>
      </c>
      <c r="D54" s="2" t="s">
        <v>96</v>
      </c>
      <c r="E54" s="2" t="s">
        <v>27</v>
      </c>
      <c r="F54" s="6" t="n">
        <v>45825.89</v>
      </c>
      <c r="G54" s="7" t="n">
        <v>0</v>
      </c>
      <c r="H54" s="7" t="n">
        <v>0</v>
      </c>
      <c r="I54" s="7" t="n">
        <v>0</v>
      </c>
      <c r="J54" s="7" t="n">
        <v>0</v>
      </c>
      <c r="K54" s="7" t="n">
        <v>0</v>
      </c>
      <c r="L54" s="6" t="n">
        <v>45825.89</v>
      </c>
      <c r="M54" s="6" t="n">
        <v>-45824.89</v>
      </c>
      <c r="N54" s="7" t="n">
        <v>0</v>
      </c>
      <c r="O54" s="7" t="n">
        <v>0</v>
      </c>
      <c r="P54" s="7" t="n">
        <v>0</v>
      </c>
      <c r="Q54" s="7" t="n">
        <v>0</v>
      </c>
      <c r="R54" s="7" t="n">
        <v>0</v>
      </c>
      <c r="S54" s="6" t="n">
        <v>-45824.89</v>
      </c>
      <c r="T54" s="6" t="n">
        <v>1</v>
      </c>
      <c r="U54" s="6" t="n">
        <v>1</v>
      </c>
    </row>
    <row r="55" customFormat="false" ht="15" hidden="true" customHeight="false" outlineLevel="2" collapsed="false">
      <c r="A55" s="2" t="s">
        <v>95</v>
      </c>
      <c r="B55" s="2" t="s">
        <v>30</v>
      </c>
      <c r="C55" s="5" t="n">
        <v>44155</v>
      </c>
      <c r="D55" s="2" t="s">
        <v>97</v>
      </c>
      <c r="E55" s="2" t="s">
        <v>27</v>
      </c>
      <c r="F55" s="6" t="n">
        <v>6966.43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6" t="n">
        <v>6966.43</v>
      </c>
      <c r="M55" s="6" t="n">
        <v>-2838.18</v>
      </c>
      <c r="N55" s="6" t="n">
        <v>-774.04</v>
      </c>
      <c r="O55" s="7" t="n">
        <v>0</v>
      </c>
      <c r="P55" s="7" t="n">
        <v>0</v>
      </c>
      <c r="Q55" s="7" t="n">
        <v>0</v>
      </c>
      <c r="R55" s="7" t="n">
        <v>0</v>
      </c>
      <c r="S55" s="6" t="n">
        <v>-3612.22</v>
      </c>
      <c r="T55" s="6" t="n">
        <v>4128.25</v>
      </c>
      <c r="U55" s="6" t="n">
        <v>3354.21</v>
      </c>
    </row>
    <row r="56" customFormat="false" ht="15" hidden="true" customHeight="false" outlineLevel="2" collapsed="false">
      <c r="A56" s="2" t="s">
        <v>98</v>
      </c>
      <c r="B56" s="2" t="s">
        <v>25</v>
      </c>
      <c r="C56" s="5" t="n">
        <v>41325</v>
      </c>
      <c r="D56" s="2" t="s">
        <v>99</v>
      </c>
      <c r="E56" s="2" t="s">
        <v>27</v>
      </c>
      <c r="F56" s="6" t="n">
        <v>103941.45</v>
      </c>
      <c r="G56" s="7" t="n">
        <v>0</v>
      </c>
      <c r="H56" s="7" t="n">
        <v>0</v>
      </c>
      <c r="I56" s="7" t="n">
        <v>0</v>
      </c>
      <c r="J56" s="7" t="n">
        <v>0</v>
      </c>
      <c r="K56" s="7" t="n">
        <v>0</v>
      </c>
      <c r="L56" s="6" t="n">
        <v>103941.45</v>
      </c>
      <c r="M56" s="6" t="n">
        <v>-103940.45</v>
      </c>
      <c r="N56" s="7" t="n">
        <v>0</v>
      </c>
      <c r="O56" s="7" t="n">
        <v>0</v>
      </c>
      <c r="P56" s="7" t="n">
        <v>0</v>
      </c>
      <c r="Q56" s="7" t="n">
        <v>0</v>
      </c>
      <c r="R56" s="7" t="n">
        <v>0</v>
      </c>
      <c r="S56" s="6" t="n">
        <v>-103940.45</v>
      </c>
      <c r="T56" s="6" t="n">
        <v>1</v>
      </c>
      <c r="U56" s="6" t="n">
        <v>1</v>
      </c>
    </row>
    <row r="57" customFormat="false" ht="15" hidden="true" customHeight="false" outlineLevel="2" collapsed="false">
      <c r="A57" s="2" t="s">
        <v>100</v>
      </c>
      <c r="B57" s="2" t="s">
        <v>25</v>
      </c>
      <c r="C57" s="5" t="n">
        <v>45739</v>
      </c>
      <c r="D57" s="2" t="s">
        <v>101</v>
      </c>
      <c r="E57" s="2" t="s">
        <v>27</v>
      </c>
      <c r="F57" s="7" t="n">
        <v>0</v>
      </c>
      <c r="G57" s="6" t="n">
        <v>79865.33</v>
      </c>
      <c r="H57" s="7" t="n">
        <v>0</v>
      </c>
      <c r="I57" s="7" t="n">
        <v>0</v>
      </c>
      <c r="J57" s="7" t="n">
        <v>0</v>
      </c>
      <c r="K57" s="7" t="n">
        <v>0</v>
      </c>
      <c r="L57" s="6" t="n">
        <v>79865.33</v>
      </c>
      <c r="M57" s="7" t="n">
        <v>0</v>
      </c>
      <c r="N57" s="6" t="n">
        <v>-2957.98</v>
      </c>
      <c r="O57" s="7" t="n">
        <v>0</v>
      </c>
      <c r="P57" s="7" t="n">
        <v>0</v>
      </c>
      <c r="Q57" s="7" t="n">
        <v>0</v>
      </c>
      <c r="R57" s="7" t="n">
        <v>0</v>
      </c>
      <c r="S57" s="6" t="n">
        <v>-2957.98</v>
      </c>
      <c r="T57" s="7" t="n">
        <v>0</v>
      </c>
      <c r="U57" s="6" t="n">
        <v>76907.35</v>
      </c>
    </row>
    <row r="58" customFormat="false" ht="15" hidden="true" customHeight="false" outlineLevel="2" collapsed="false">
      <c r="A58" s="2" t="s">
        <v>102</v>
      </c>
      <c r="B58" s="2" t="s">
        <v>25</v>
      </c>
      <c r="C58" s="5" t="n">
        <v>41117</v>
      </c>
      <c r="D58" s="2" t="s">
        <v>103</v>
      </c>
      <c r="E58" s="2" t="s">
        <v>27</v>
      </c>
      <c r="F58" s="6" t="n">
        <v>1722.87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6" t="n">
        <v>1722.87</v>
      </c>
      <c r="M58" s="6" t="n">
        <v>-1721.87</v>
      </c>
      <c r="N58" s="7" t="n">
        <v>0</v>
      </c>
      <c r="O58" s="7" t="n">
        <v>0</v>
      </c>
      <c r="P58" s="7" t="n">
        <v>0</v>
      </c>
      <c r="Q58" s="7" t="n">
        <v>0</v>
      </c>
      <c r="R58" s="7" t="n">
        <v>0</v>
      </c>
      <c r="S58" s="6" t="n">
        <v>-1721.87</v>
      </c>
      <c r="T58" s="6" t="n">
        <v>1</v>
      </c>
      <c r="U58" s="6" t="n">
        <v>1</v>
      </c>
    </row>
    <row r="59" customFormat="false" ht="15" hidden="true" customHeight="false" outlineLevel="2" collapsed="false">
      <c r="A59" s="2" t="s">
        <v>102</v>
      </c>
      <c r="B59" s="2" t="s">
        <v>30</v>
      </c>
      <c r="C59" s="5" t="n">
        <v>45079</v>
      </c>
      <c r="D59" s="2" t="s">
        <v>104</v>
      </c>
      <c r="E59" s="2" t="s">
        <v>27</v>
      </c>
      <c r="F59" s="6" t="n">
        <v>130.27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6" t="n">
        <v>130.27</v>
      </c>
      <c r="M59" s="6" t="n">
        <v>-47.04</v>
      </c>
      <c r="N59" s="6" t="n">
        <v>-43.43</v>
      </c>
      <c r="O59" s="7" t="n">
        <v>0</v>
      </c>
      <c r="P59" s="7" t="n">
        <v>0</v>
      </c>
      <c r="Q59" s="7" t="n">
        <v>0</v>
      </c>
      <c r="R59" s="7" t="n">
        <v>0</v>
      </c>
      <c r="S59" s="6" t="n">
        <v>-90.47</v>
      </c>
      <c r="T59" s="6" t="n">
        <v>83.23</v>
      </c>
      <c r="U59" s="6" t="n">
        <v>39.8</v>
      </c>
    </row>
    <row r="60" customFormat="false" ht="15" hidden="true" customHeight="false" outlineLevel="2" collapsed="false">
      <c r="A60" s="2" t="s">
        <v>105</v>
      </c>
      <c r="B60" s="2" t="s">
        <v>25</v>
      </c>
      <c r="C60" s="5" t="n">
        <v>41749</v>
      </c>
      <c r="D60" s="2" t="s">
        <v>106</v>
      </c>
      <c r="E60" s="2" t="s">
        <v>27</v>
      </c>
      <c r="F60" s="6" t="n">
        <v>12795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6" t="n">
        <v>12795</v>
      </c>
      <c r="M60" s="6" t="n">
        <v>-12794</v>
      </c>
      <c r="N60" s="7" t="n">
        <v>0</v>
      </c>
      <c r="O60" s="7" t="n">
        <v>0</v>
      </c>
      <c r="P60" s="7" t="n">
        <v>0</v>
      </c>
      <c r="Q60" s="7" t="n">
        <v>0</v>
      </c>
      <c r="R60" s="7" t="n">
        <v>0</v>
      </c>
      <c r="S60" s="6" t="n">
        <v>-12794</v>
      </c>
      <c r="T60" s="6" t="n">
        <v>1</v>
      </c>
      <c r="U60" s="6" t="n">
        <v>1</v>
      </c>
    </row>
    <row r="61" customFormat="false" ht="15" hidden="true" customHeight="false" outlineLevel="2" collapsed="false">
      <c r="A61" s="2" t="s">
        <v>105</v>
      </c>
      <c r="B61" s="2" t="s">
        <v>30</v>
      </c>
      <c r="C61" s="5" t="n">
        <v>42727</v>
      </c>
      <c r="D61" s="2" t="s">
        <v>107</v>
      </c>
      <c r="E61" s="2" t="s">
        <v>27</v>
      </c>
      <c r="F61" s="6" t="n">
        <v>2045.72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6" t="n">
        <v>2045.72</v>
      </c>
      <c r="M61" s="6" t="n">
        <v>-2044.72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6" t="n">
        <v>-2044.72</v>
      </c>
      <c r="T61" s="6" t="n">
        <v>1</v>
      </c>
      <c r="U61" s="6" t="n">
        <v>1</v>
      </c>
    </row>
    <row r="62" customFormat="false" ht="15" hidden="true" customHeight="false" outlineLevel="2" collapsed="false">
      <c r="A62" s="2" t="s">
        <v>108</v>
      </c>
      <c r="B62" s="2" t="s">
        <v>25</v>
      </c>
      <c r="C62" s="5" t="n">
        <v>42390</v>
      </c>
      <c r="D62" s="2" t="s">
        <v>109</v>
      </c>
      <c r="E62" s="2" t="s">
        <v>27</v>
      </c>
      <c r="F62" s="6" t="n">
        <v>24769.94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6" t="n">
        <v>24769.94</v>
      </c>
      <c r="M62" s="6" t="n">
        <v>-24768.94</v>
      </c>
      <c r="N62" s="7" t="n">
        <v>0</v>
      </c>
      <c r="O62" s="7" t="n">
        <v>0</v>
      </c>
      <c r="P62" s="7" t="n">
        <v>0</v>
      </c>
      <c r="Q62" s="7" t="n">
        <v>0</v>
      </c>
      <c r="R62" s="7" t="n">
        <v>0</v>
      </c>
      <c r="S62" s="6" t="n">
        <v>-24768.94</v>
      </c>
      <c r="T62" s="6" t="n">
        <v>1</v>
      </c>
      <c r="U62" s="6" t="n">
        <v>1</v>
      </c>
    </row>
    <row r="63" customFormat="false" ht="15" hidden="true" customHeight="false" outlineLevel="2" collapsed="false">
      <c r="A63" s="2" t="s">
        <v>110</v>
      </c>
      <c r="B63" s="2" t="s">
        <v>25</v>
      </c>
      <c r="C63" s="5" t="n">
        <v>44072</v>
      </c>
      <c r="D63" s="2" t="s">
        <v>103</v>
      </c>
      <c r="E63" s="2" t="s">
        <v>27</v>
      </c>
      <c r="F63" s="6" t="n">
        <v>26238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6" t="n">
        <v>26238</v>
      </c>
      <c r="M63" s="6" t="n">
        <v>-20553.1</v>
      </c>
      <c r="N63" s="6" t="n">
        <v>-5247.6</v>
      </c>
      <c r="O63" s="7" t="n">
        <v>0</v>
      </c>
      <c r="P63" s="7" t="n">
        <v>0</v>
      </c>
      <c r="Q63" s="7" t="n">
        <v>0</v>
      </c>
      <c r="R63" s="7" t="n">
        <v>0</v>
      </c>
      <c r="S63" s="6" t="n">
        <v>-25800.7</v>
      </c>
      <c r="T63" s="6" t="n">
        <v>5684.9</v>
      </c>
      <c r="U63" s="6" t="n">
        <v>437.3</v>
      </c>
    </row>
    <row r="64" customFormat="false" ht="15" hidden="true" customHeight="false" outlineLevel="2" collapsed="false">
      <c r="A64" s="2" t="s">
        <v>111</v>
      </c>
      <c r="B64" s="2" t="s">
        <v>25</v>
      </c>
      <c r="C64" s="5" t="n">
        <v>45759</v>
      </c>
      <c r="D64" s="2" t="s">
        <v>103</v>
      </c>
      <c r="E64" s="2" t="s">
        <v>27</v>
      </c>
      <c r="F64" s="7" t="n">
        <v>0</v>
      </c>
      <c r="G64" s="6" t="n">
        <v>767</v>
      </c>
      <c r="H64" s="7" t="n">
        <v>0</v>
      </c>
      <c r="I64" s="7" t="n">
        <v>0</v>
      </c>
      <c r="J64" s="7" t="n">
        <v>0</v>
      </c>
      <c r="K64" s="7" t="n">
        <v>0</v>
      </c>
      <c r="L64" s="6" t="n">
        <v>767</v>
      </c>
      <c r="M64" s="7" t="n">
        <v>0</v>
      </c>
      <c r="N64" s="6" t="n">
        <v>-38.35</v>
      </c>
      <c r="O64" s="7" t="n">
        <v>0</v>
      </c>
      <c r="P64" s="7" t="n">
        <v>0</v>
      </c>
      <c r="Q64" s="7" t="n">
        <v>0</v>
      </c>
      <c r="R64" s="7" t="n">
        <v>0</v>
      </c>
      <c r="S64" s="6" t="n">
        <v>-38.35</v>
      </c>
      <c r="T64" s="7" t="n">
        <v>0</v>
      </c>
      <c r="U64" s="6" t="n">
        <v>728.65</v>
      </c>
    </row>
    <row r="65" customFormat="false" ht="15" hidden="true" customHeight="false" outlineLevel="2" collapsed="false">
      <c r="A65" s="2" t="s">
        <v>112</v>
      </c>
      <c r="B65" s="2" t="s">
        <v>25</v>
      </c>
      <c r="C65" s="5" t="n">
        <v>45303</v>
      </c>
      <c r="D65" s="2" t="s">
        <v>113</v>
      </c>
      <c r="E65" s="2" t="s">
        <v>27</v>
      </c>
      <c r="F65" s="6" t="n">
        <v>362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6" t="n">
        <v>362</v>
      </c>
      <c r="M65" s="6" t="n">
        <v>-362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6" t="n">
        <v>-362</v>
      </c>
      <c r="T65" s="7" t="n">
        <v>0</v>
      </c>
      <c r="U65" s="7" t="n">
        <v>0</v>
      </c>
    </row>
    <row r="66" customFormat="false" ht="15" hidden="true" customHeight="false" outlineLevel="2" collapsed="false">
      <c r="A66" s="2" t="s">
        <v>114</v>
      </c>
      <c r="B66" s="2" t="s">
        <v>25</v>
      </c>
      <c r="C66" s="5" t="n">
        <v>45533</v>
      </c>
      <c r="D66" s="2" t="s">
        <v>115</v>
      </c>
      <c r="E66" s="2" t="s">
        <v>27</v>
      </c>
      <c r="F66" s="7" t="n">
        <v>0</v>
      </c>
      <c r="G66" s="6" t="n">
        <v>322.17</v>
      </c>
      <c r="H66" s="7" t="n">
        <v>0</v>
      </c>
      <c r="I66" s="7" t="n">
        <v>0</v>
      </c>
      <c r="J66" s="7" t="n">
        <v>0</v>
      </c>
      <c r="K66" s="7" t="n">
        <v>0</v>
      </c>
      <c r="L66" s="6" t="n">
        <v>322.17</v>
      </c>
      <c r="M66" s="7" t="n">
        <v>0</v>
      </c>
      <c r="N66" s="6" t="n">
        <v>-322.17</v>
      </c>
      <c r="O66" s="7" t="n">
        <v>0</v>
      </c>
      <c r="P66" s="7" t="n">
        <v>0</v>
      </c>
      <c r="Q66" s="7" t="n">
        <v>0</v>
      </c>
      <c r="R66" s="7" t="n">
        <v>0</v>
      </c>
      <c r="S66" s="6" t="n">
        <v>-322.17</v>
      </c>
      <c r="T66" s="7" t="n">
        <v>0</v>
      </c>
      <c r="U66" s="7" t="n">
        <v>0</v>
      </c>
    </row>
    <row r="67" customFormat="false" ht="15" hidden="true" customHeight="false" outlineLevel="2" collapsed="false">
      <c r="A67" s="2" t="s">
        <v>116</v>
      </c>
      <c r="B67" s="2" t="s">
        <v>25</v>
      </c>
      <c r="C67" s="5" t="n">
        <v>45648</v>
      </c>
      <c r="D67" s="2" t="s">
        <v>117</v>
      </c>
      <c r="E67" s="2" t="s">
        <v>27</v>
      </c>
      <c r="F67" s="7" t="n">
        <v>0</v>
      </c>
      <c r="G67" s="6" t="n">
        <v>603</v>
      </c>
      <c r="H67" s="7" t="n">
        <v>0</v>
      </c>
      <c r="I67" s="7" t="n">
        <v>0</v>
      </c>
      <c r="J67" s="7" t="n">
        <v>0</v>
      </c>
      <c r="K67" s="7" t="n">
        <v>0</v>
      </c>
      <c r="L67" s="6" t="n">
        <v>603</v>
      </c>
      <c r="M67" s="7" t="n">
        <v>0</v>
      </c>
      <c r="N67" s="6" t="n">
        <v>-603</v>
      </c>
      <c r="O67" s="7" t="n">
        <v>0</v>
      </c>
      <c r="P67" s="7" t="n">
        <v>0</v>
      </c>
      <c r="Q67" s="7" t="n">
        <v>0</v>
      </c>
      <c r="R67" s="7" t="n">
        <v>0</v>
      </c>
      <c r="S67" s="6" t="n">
        <v>-603</v>
      </c>
      <c r="T67" s="7" t="n">
        <v>0</v>
      </c>
      <c r="U67" s="7" t="n">
        <v>0</v>
      </c>
    </row>
    <row r="68" customFormat="false" ht="15" hidden="true" customHeight="false" outlineLevel="2" collapsed="false">
      <c r="A68" s="2" t="s">
        <v>118</v>
      </c>
      <c r="B68" s="2" t="s">
        <v>25</v>
      </c>
      <c r="C68" s="5" t="n">
        <v>45387</v>
      </c>
      <c r="D68" s="2" t="s">
        <v>119</v>
      </c>
      <c r="E68" s="2" t="s">
        <v>27</v>
      </c>
      <c r="F68" s="6" t="n">
        <v>27949.83</v>
      </c>
      <c r="G68" s="6" t="n">
        <v>68279</v>
      </c>
      <c r="H68" s="7" t="n">
        <v>0</v>
      </c>
      <c r="I68" s="6" t="n">
        <v>-96228.83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6" t="n">
        <v>27949.83</v>
      </c>
      <c r="U68" s="7" t="n">
        <v>0</v>
      </c>
    </row>
    <row r="69" customFormat="false" ht="15" hidden="true" customHeight="false" outlineLevel="2" collapsed="false">
      <c r="A69" s="2" t="s">
        <v>120</v>
      </c>
      <c r="B69" s="2" t="s">
        <v>25</v>
      </c>
      <c r="C69" s="5" t="n">
        <v>38531</v>
      </c>
      <c r="D69" s="2" t="s">
        <v>121</v>
      </c>
      <c r="E69" s="2" t="s">
        <v>27</v>
      </c>
      <c r="F69" s="6" t="n">
        <v>162331.07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6" t="n">
        <v>162331.07</v>
      </c>
      <c r="M69" s="6" t="n">
        <v>-48699.32</v>
      </c>
      <c r="N69" s="7" t="n">
        <v>0</v>
      </c>
      <c r="O69" s="7" t="n">
        <v>0</v>
      </c>
      <c r="P69" s="7" t="n">
        <v>0</v>
      </c>
      <c r="Q69" s="7" t="n">
        <v>0</v>
      </c>
      <c r="R69" s="6" t="n">
        <v>24349.66</v>
      </c>
      <c r="S69" s="6" t="n">
        <v>-24349.66</v>
      </c>
      <c r="T69" s="6" t="n">
        <v>113631.75</v>
      </c>
      <c r="U69" s="6" t="n">
        <v>137981.41</v>
      </c>
    </row>
    <row r="70" customFormat="false" ht="15" hidden="false" customHeight="false" outlineLevel="0" collapsed="false">
      <c r="A70" s="8" t="s">
        <v>122</v>
      </c>
      <c r="B70" s="8"/>
      <c r="C70" s="8"/>
      <c r="D70" s="8"/>
      <c r="E70" s="8"/>
      <c r="F70" s="9" t="n">
        <v>7951457.14</v>
      </c>
      <c r="G70" s="9" t="n">
        <v>214150.78</v>
      </c>
      <c r="H70" s="9" t="n">
        <v>-946.25</v>
      </c>
      <c r="I70" s="10" t="n">
        <v>0</v>
      </c>
      <c r="J70" s="10" t="n">
        <v>0</v>
      </c>
      <c r="K70" s="10" t="n">
        <v>0</v>
      </c>
      <c r="L70" s="9" t="n">
        <v>8164661.67</v>
      </c>
      <c r="M70" s="9" t="n">
        <v>-4707816.84</v>
      </c>
      <c r="N70" s="9" t="n">
        <v>-178040.99</v>
      </c>
      <c r="O70" s="9" t="n">
        <v>945.25</v>
      </c>
      <c r="P70" s="10" t="n">
        <v>0</v>
      </c>
      <c r="Q70" s="10" t="n">
        <v>0</v>
      </c>
      <c r="R70" s="9" t="n">
        <v>24349.66</v>
      </c>
      <c r="S70" s="9" t="n">
        <v>-4860562.92</v>
      </c>
      <c r="T70" s="9" t="n">
        <v>3243640.3</v>
      </c>
      <c r="U70" s="9" t="n">
        <v>3304098.75</v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2" t="n">
        <v>7951457.14</v>
      </c>
      <c r="G71" s="12" t="n">
        <v>214150.78</v>
      </c>
      <c r="H71" s="12" t="n">
        <v>-946.25</v>
      </c>
      <c r="I71" s="13" t="n">
        <v>0</v>
      </c>
      <c r="J71" s="13" t="n">
        <v>0</v>
      </c>
      <c r="K71" s="13" t="n">
        <v>0</v>
      </c>
      <c r="L71" s="12" t="n">
        <v>8164661.67</v>
      </c>
      <c r="M71" s="12" t="n">
        <v>-4707816.84</v>
      </c>
      <c r="N71" s="12" t="n">
        <v>-178040.99</v>
      </c>
      <c r="O71" s="12" t="n">
        <v>945.25</v>
      </c>
      <c r="P71" s="13" t="n">
        <v>0</v>
      </c>
      <c r="Q71" s="13" t="n">
        <v>0</v>
      </c>
      <c r="R71" s="12" t="n">
        <v>24349.66</v>
      </c>
      <c r="S71" s="12" t="n">
        <v>-4860562.92</v>
      </c>
      <c r="T71" s="12" t="n">
        <v>3243640.3</v>
      </c>
      <c r="U71" s="12" t="n">
        <v>3304098.75</v>
      </c>
    </row>
    <row r="73" customFormat="false" ht="15" hidden="false" customHeight="false" outlineLevel="0" collapsed="false">
      <c r="F73" s="14" t="n">
        <f aca="false">+F71-F9</f>
        <v>0</v>
      </c>
      <c r="G73" s="14" t="n">
        <f aca="false">+G71-G9</f>
        <v>0</v>
      </c>
      <c r="H73" s="14" t="n">
        <f aca="false">+H71-H9</f>
        <v>0</v>
      </c>
      <c r="I73" s="14" t="n">
        <f aca="false">+I71-I9</f>
        <v>0</v>
      </c>
      <c r="J73" s="14" t="n">
        <f aca="false">+J71-J9</f>
        <v>0</v>
      </c>
      <c r="K73" s="14" t="n">
        <f aca="false">+K71-K9</f>
        <v>0</v>
      </c>
      <c r="L73" s="14" t="n">
        <f aca="false">+L71-L9</f>
        <v>0</v>
      </c>
      <c r="M73" s="14" t="n">
        <f aca="false">+M71-M9</f>
        <v>0</v>
      </c>
      <c r="N73" s="14" t="n">
        <f aca="false">+N71-N9</f>
        <v>0</v>
      </c>
      <c r="O73" s="14" t="n">
        <f aca="false">+O71-O9</f>
        <v>0</v>
      </c>
      <c r="P73" s="14" t="n">
        <f aca="false">+P71-P9</f>
        <v>0</v>
      </c>
      <c r="Q73" s="14" t="n">
        <f aca="false">+Q71-Q9</f>
        <v>0</v>
      </c>
      <c r="R73" s="14" t="n">
        <f aca="false">+R71-R9</f>
        <v>0</v>
      </c>
      <c r="S73" s="14" t="n">
        <f aca="false">+S71-S9</f>
        <v>0</v>
      </c>
      <c r="T73" s="14" t="n">
        <f aca="false">+T71-T9</f>
        <v>0</v>
      </c>
      <c r="U73" s="14" t="n">
        <f aca="false">+U71-U9</f>
        <v>0</v>
      </c>
    </row>
    <row r="75" customFormat="false" ht="15" hidden="false" customHeight="false" outlineLevel="0" collapsed="false">
      <c r="A75" s="1" t="s">
        <v>123</v>
      </c>
      <c r="D75" s="2" t="s">
        <v>124</v>
      </c>
      <c r="U75" s="14" t="n">
        <f aca="false">+U71</f>
        <v>3304098.75</v>
      </c>
    </row>
    <row r="76" customFormat="false" ht="15" hidden="false" customHeight="false" outlineLevel="0" collapsed="false">
      <c r="D76" s="2" t="s">
        <v>125</v>
      </c>
      <c r="U76" s="14" t="n">
        <f aca="false">65.52</f>
        <v>65.52</v>
      </c>
    </row>
    <row r="77" customFormat="false" ht="15" hidden="false" customHeight="false" outlineLevel="0" collapsed="false">
      <c r="D77" s="2" t="s">
        <v>126</v>
      </c>
      <c r="U77" s="14" t="n">
        <f aca="false">2502680.07+535491.43+127880.32</f>
        <v>3166051.82</v>
      </c>
    </row>
    <row r="78" customFormat="false" ht="15" hidden="false" customHeight="false" outlineLevel="0" collapsed="false">
      <c r="D78" s="2" t="s">
        <v>127</v>
      </c>
      <c r="U78" s="14" t="n">
        <f aca="false">137981.41</f>
        <v>137981.41</v>
      </c>
    </row>
    <row r="79" customFormat="false" ht="15" hidden="false" customHeight="false" outlineLevel="0" collapsed="false">
      <c r="D79" s="2" t="s">
        <v>128</v>
      </c>
      <c r="U79" s="14" t="n">
        <f aca="false">U75-SUM(U76:U78)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1"/>
    <col collapsed="false" customWidth="true" hidden="false" outlineLevel="0" max="4" min="4" style="0" width="8"/>
    <col collapsed="false" customWidth="true" hidden="false" outlineLevel="0" max="22" min="5" style="0" width="15"/>
  </cols>
  <sheetData>
    <row r="1" customFormat="false" ht="30" hidden="false" customHeight="true" outlineLevel="0" collapsed="false">
      <c r="A1" s="4" t="s">
        <v>129</v>
      </c>
      <c r="B1" s="4" t="s">
        <v>130</v>
      </c>
      <c r="C1" s="4" t="s">
        <v>131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15" t="s">
        <v>132</v>
      </c>
      <c r="L1" s="4" t="s">
        <v>14</v>
      </c>
      <c r="M1" s="15" t="s">
        <v>133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</row>
    <row r="2" customFormat="false" ht="15" hidden="false" customHeight="false" outlineLevel="1" collapsed="false">
      <c r="A2" s="2" t="s">
        <v>134</v>
      </c>
      <c r="B2" s="2" t="s">
        <v>135</v>
      </c>
      <c r="C2" s="2" t="s">
        <v>136</v>
      </c>
      <c r="D2" s="2" t="s">
        <v>27</v>
      </c>
      <c r="E2" s="6" t="n">
        <v>11474.17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16" t="n">
        <f aca="false">SUM(E2:H2)</f>
        <v>11474.17</v>
      </c>
      <c r="L2" s="6" t="n">
        <v>11474.17</v>
      </c>
      <c r="M2" s="16" t="n">
        <f aca="false">L2-K2</f>
        <v>0</v>
      </c>
      <c r="N2" s="6" t="n">
        <v>-11218.1</v>
      </c>
      <c r="O2" s="6" t="n">
        <v>-190.55</v>
      </c>
      <c r="P2" s="7" t="n">
        <v>0</v>
      </c>
      <c r="Q2" s="7" t="n">
        <v>0</v>
      </c>
      <c r="R2" s="7" t="n">
        <v>0</v>
      </c>
      <c r="S2" s="7" t="n">
        <v>0</v>
      </c>
      <c r="T2" s="6" t="n">
        <v>-11408.65</v>
      </c>
      <c r="U2" s="6" t="n">
        <v>256.07</v>
      </c>
      <c r="V2" s="6" t="n">
        <v>65.52</v>
      </c>
    </row>
    <row r="3" customFormat="false" ht="15" hidden="false" customHeight="false" outlineLevel="1" collapsed="false">
      <c r="A3" s="2" t="s">
        <v>134</v>
      </c>
      <c r="B3" s="2" t="s">
        <v>137</v>
      </c>
      <c r="C3" s="2" t="s">
        <v>138</v>
      </c>
      <c r="D3" s="2" t="s">
        <v>27</v>
      </c>
      <c r="E3" s="6" t="n">
        <v>439495.22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16" t="n">
        <f aca="false">SUM(E3:H3)</f>
        <v>439495.22</v>
      </c>
      <c r="L3" s="6" t="n">
        <v>439495.22</v>
      </c>
      <c r="M3" s="16" t="n">
        <f aca="false">L3-K3</f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6" t="n">
        <v>439495.22</v>
      </c>
      <c r="V3" s="6" t="n">
        <v>439495.22</v>
      </c>
    </row>
    <row r="4" customFormat="false" ht="15" hidden="false" customHeight="false" outlineLevel="1" collapsed="false">
      <c r="A4" s="2" t="s">
        <v>134</v>
      </c>
      <c r="B4" s="2" t="s">
        <v>139</v>
      </c>
      <c r="C4" s="2" t="s">
        <v>140</v>
      </c>
      <c r="D4" s="2" t="s">
        <v>27</v>
      </c>
      <c r="E4" s="6" t="n">
        <v>5618698.82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16" t="n">
        <f aca="false">SUM(E4:H4)</f>
        <v>5618698.82</v>
      </c>
      <c r="L4" s="6" t="n">
        <v>5618698.82</v>
      </c>
      <c r="M4" s="16" t="n">
        <f aca="false">L4-K4</f>
        <v>0</v>
      </c>
      <c r="N4" s="6" t="n">
        <v>-3459599.07</v>
      </c>
      <c r="O4" s="6" t="n">
        <v>-95914.9</v>
      </c>
      <c r="P4" s="7" t="n">
        <v>0</v>
      </c>
      <c r="Q4" s="7" t="n">
        <v>0</v>
      </c>
      <c r="R4" s="7" t="n">
        <v>0</v>
      </c>
      <c r="S4" s="7" t="n">
        <v>0</v>
      </c>
      <c r="T4" s="6" t="n">
        <v>-3555513.97</v>
      </c>
      <c r="U4" s="6" t="n">
        <v>2159099.75</v>
      </c>
      <c r="V4" s="6" t="n">
        <v>2063184.85</v>
      </c>
    </row>
    <row r="5" customFormat="false" ht="15" hidden="false" customHeight="false" outlineLevel="1" collapsed="false">
      <c r="A5" s="2" t="s">
        <v>134</v>
      </c>
      <c r="B5" s="2" t="s">
        <v>141</v>
      </c>
      <c r="C5" s="2" t="s">
        <v>142</v>
      </c>
      <c r="D5" s="2" t="s">
        <v>27</v>
      </c>
      <c r="E5" s="6" t="n">
        <v>611416.07</v>
      </c>
      <c r="F5" s="6" t="n">
        <v>26561.17</v>
      </c>
      <c r="G5" s="7" t="n">
        <v>0</v>
      </c>
      <c r="H5" s="6" t="n">
        <v>96228.83</v>
      </c>
      <c r="I5" s="7" t="n">
        <v>0</v>
      </c>
      <c r="J5" s="7" t="n">
        <v>0</v>
      </c>
      <c r="K5" s="16" t="n">
        <f aca="false">SUM(E5:H5)</f>
        <v>734206.07</v>
      </c>
      <c r="L5" s="6" t="n">
        <v>734206.07</v>
      </c>
      <c r="M5" s="16" t="n">
        <f aca="false">L5-K5</f>
        <v>0</v>
      </c>
      <c r="N5" s="6" t="n">
        <v>-485742.57</v>
      </c>
      <c r="O5" s="6" t="n">
        <v>-44477.07</v>
      </c>
      <c r="P5" s="7" t="n">
        <v>0</v>
      </c>
      <c r="Q5" s="7" t="n">
        <v>0</v>
      </c>
      <c r="R5" s="7" t="n">
        <v>0</v>
      </c>
      <c r="S5" s="7" t="n">
        <v>0</v>
      </c>
      <c r="T5" s="6" t="n">
        <v>-530219.64</v>
      </c>
      <c r="U5" s="6" t="n">
        <v>125673.5</v>
      </c>
      <c r="V5" s="6" t="n">
        <v>203986.43</v>
      </c>
    </row>
    <row r="6" customFormat="false" ht="15" hidden="false" customHeight="false" outlineLevel="1" collapsed="false">
      <c r="A6" s="2" t="s">
        <v>134</v>
      </c>
      <c r="B6" s="2" t="s">
        <v>143</v>
      </c>
      <c r="C6" s="2" t="s">
        <v>144</v>
      </c>
      <c r="D6" s="2" t="s">
        <v>27</v>
      </c>
      <c r="E6" s="6" t="n">
        <v>532662.26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16" t="n">
        <f aca="false">SUM(E6:H6)</f>
        <v>532662.26</v>
      </c>
      <c r="L6" s="6" t="n">
        <v>532662.26</v>
      </c>
      <c r="M6" s="16" t="n">
        <f aca="false">L6-K6</f>
        <v>0</v>
      </c>
      <c r="N6" s="6" t="n">
        <v>-178925.89</v>
      </c>
      <c r="O6" s="6" t="n">
        <v>-22231.37</v>
      </c>
      <c r="P6" s="7" t="n">
        <v>0</v>
      </c>
      <c r="Q6" s="7" t="n">
        <v>0</v>
      </c>
      <c r="R6" s="7" t="n">
        <v>0</v>
      </c>
      <c r="S6" s="7" t="n">
        <v>0</v>
      </c>
      <c r="T6" s="6" t="n">
        <v>-201157.26</v>
      </c>
      <c r="U6" s="6" t="n">
        <v>353736.37</v>
      </c>
      <c r="V6" s="6" t="n">
        <v>331505</v>
      </c>
    </row>
    <row r="7" customFormat="false" ht="15" hidden="false" customHeight="false" outlineLevel="1" collapsed="false">
      <c r="A7" s="2" t="s">
        <v>134</v>
      </c>
      <c r="B7" s="2" t="s">
        <v>145</v>
      </c>
      <c r="C7" s="2" t="s">
        <v>146</v>
      </c>
      <c r="D7" s="2" t="s">
        <v>27</v>
      </c>
      <c r="E7" s="6" t="n">
        <v>47923.05</v>
      </c>
      <c r="F7" s="6" t="n">
        <v>1726.94</v>
      </c>
      <c r="G7" s="6" t="n">
        <v>-946.25</v>
      </c>
      <c r="H7" s="7" t="n">
        <v>0</v>
      </c>
      <c r="I7" s="7" t="n">
        <v>0</v>
      </c>
      <c r="J7" s="7" t="n">
        <v>0</v>
      </c>
      <c r="K7" s="16" t="n">
        <f aca="false">SUM(E7:H7)</f>
        <v>48703.74</v>
      </c>
      <c r="L7" s="6" t="n">
        <v>48703.74</v>
      </c>
      <c r="M7" s="16" t="n">
        <f aca="false">L7-K7</f>
        <v>0</v>
      </c>
      <c r="N7" s="6" t="n">
        <v>-45930.96</v>
      </c>
      <c r="O7" s="6" t="n">
        <v>-490.25</v>
      </c>
      <c r="P7" s="6" t="n">
        <v>945.25</v>
      </c>
      <c r="Q7" s="7" t="n">
        <v>0</v>
      </c>
      <c r="R7" s="7" t="n">
        <v>0</v>
      </c>
      <c r="S7" s="7" t="n">
        <v>0</v>
      </c>
      <c r="T7" s="6" t="n">
        <v>-45475.96</v>
      </c>
      <c r="U7" s="6" t="n">
        <v>1992.09</v>
      </c>
      <c r="V7" s="6" t="n">
        <v>3227.78</v>
      </c>
    </row>
    <row r="8" customFormat="false" ht="15" hidden="false" customHeight="false" outlineLevel="1" collapsed="false">
      <c r="A8" s="2" t="s">
        <v>134</v>
      </c>
      <c r="B8" s="2" t="s">
        <v>147</v>
      </c>
      <c r="C8" s="2" t="s">
        <v>148</v>
      </c>
      <c r="D8" s="2" t="s">
        <v>27</v>
      </c>
      <c r="E8" s="6" t="n">
        <v>37853.45</v>
      </c>
      <c r="F8" s="6" t="n">
        <v>1568.26</v>
      </c>
      <c r="G8" s="7" t="n">
        <v>0</v>
      </c>
      <c r="H8" s="7" t="n">
        <v>0</v>
      </c>
      <c r="I8" s="7" t="n">
        <v>0</v>
      </c>
      <c r="J8" s="7" t="n">
        <v>0</v>
      </c>
      <c r="K8" s="16" t="n">
        <f aca="false">SUM(E8:H8)</f>
        <v>39421.71</v>
      </c>
      <c r="L8" s="6" t="n">
        <v>39421.71</v>
      </c>
      <c r="M8" s="16" t="n">
        <f aca="false">L8-K8</f>
        <v>0</v>
      </c>
      <c r="N8" s="6" t="n">
        <v>-25955.11</v>
      </c>
      <c r="O8" s="6" t="n">
        <v>-1878.79</v>
      </c>
      <c r="P8" s="7" t="n">
        <v>0</v>
      </c>
      <c r="Q8" s="7" t="n">
        <v>0</v>
      </c>
      <c r="R8" s="7" t="n">
        <v>0</v>
      </c>
      <c r="S8" s="7" t="n">
        <v>0</v>
      </c>
      <c r="T8" s="6" t="n">
        <v>-27833.9</v>
      </c>
      <c r="U8" s="6" t="n">
        <v>11898.34</v>
      </c>
      <c r="V8" s="6" t="n">
        <v>11587.81</v>
      </c>
    </row>
    <row r="9" customFormat="false" ht="15" hidden="false" customHeight="false" outlineLevel="1" collapsed="false">
      <c r="A9" s="2" t="s">
        <v>134</v>
      </c>
      <c r="B9" s="2" t="s">
        <v>149</v>
      </c>
      <c r="C9" s="2" t="s">
        <v>150</v>
      </c>
      <c r="D9" s="2" t="s">
        <v>27</v>
      </c>
      <c r="E9" s="6" t="n">
        <v>85552.75</v>
      </c>
      <c r="F9" s="6" t="n">
        <v>34457.91</v>
      </c>
      <c r="G9" s="7" t="n">
        <v>0</v>
      </c>
      <c r="H9" s="7" t="n">
        <v>0</v>
      </c>
      <c r="I9" s="7" t="n">
        <v>0</v>
      </c>
      <c r="J9" s="7" t="n">
        <v>0</v>
      </c>
      <c r="K9" s="16" t="n">
        <f aca="false">SUM(E9:H9)</f>
        <v>120010.66</v>
      </c>
      <c r="L9" s="6" t="n">
        <v>120010.66</v>
      </c>
      <c r="M9" s="16" t="n">
        <f aca="false">L9-K9</f>
        <v>0</v>
      </c>
      <c r="N9" s="6" t="n">
        <v>-85549.75</v>
      </c>
      <c r="O9" s="6" t="n">
        <v>-2871.49</v>
      </c>
      <c r="P9" s="7" t="n">
        <v>0</v>
      </c>
      <c r="Q9" s="7" t="n">
        <v>0</v>
      </c>
      <c r="R9" s="7" t="n">
        <v>0</v>
      </c>
      <c r="S9" s="7" t="n">
        <v>0</v>
      </c>
      <c r="T9" s="6" t="n">
        <v>-88421.24</v>
      </c>
      <c r="U9" s="6" t="n">
        <v>3</v>
      </c>
      <c r="V9" s="6" t="n">
        <v>31589.42</v>
      </c>
    </row>
    <row r="10" customFormat="false" ht="15" hidden="false" customHeight="false" outlineLevel="1" collapsed="false">
      <c r="A10" s="2" t="s">
        <v>134</v>
      </c>
      <c r="B10" s="2" t="s">
        <v>151</v>
      </c>
      <c r="C10" s="2" t="s">
        <v>152</v>
      </c>
      <c r="D10" s="2" t="s">
        <v>27</v>
      </c>
      <c r="E10" s="6" t="n">
        <v>308036.65</v>
      </c>
      <c r="F10" s="6" t="n">
        <v>79865.33</v>
      </c>
      <c r="G10" s="7" t="n">
        <v>0</v>
      </c>
      <c r="H10" s="7" t="n">
        <v>0</v>
      </c>
      <c r="I10" s="7" t="n">
        <v>0</v>
      </c>
      <c r="J10" s="7" t="n">
        <v>0</v>
      </c>
      <c r="K10" s="16" t="n">
        <f aca="false">SUM(E10:H10)</f>
        <v>387901.98</v>
      </c>
      <c r="L10" s="6" t="n">
        <v>387901.98</v>
      </c>
      <c r="M10" s="16" t="n">
        <f aca="false">L10-K10</f>
        <v>0</v>
      </c>
      <c r="N10" s="6" t="n">
        <v>-303904.4</v>
      </c>
      <c r="O10" s="6" t="n">
        <v>-3732.02</v>
      </c>
      <c r="P10" s="7" t="n">
        <v>0</v>
      </c>
      <c r="Q10" s="7" t="n">
        <v>0</v>
      </c>
      <c r="R10" s="7" t="n">
        <v>0</v>
      </c>
      <c r="S10" s="7" t="n">
        <v>0</v>
      </c>
      <c r="T10" s="6" t="n">
        <v>-307636.42</v>
      </c>
      <c r="U10" s="6" t="n">
        <v>4132.25</v>
      </c>
      <c r="V10" s="6" t="n">
        <v>80265.56</v>
      </c>
    </row>
    <row r="11" customFormat="false" ht="15" hidden="false" customHeight="false" outlineLevel="1" collapsed="false">
      <c r="A11" s="2" t="s">
        <v>134</v>
      </c>
      <c r="B11" s="2" t="s">
        <v>153</v>
      </c>
      <c r="C11" s="2" t="s">
        <v>154</v>
      </c>
      <c r="D11" s="2" t="s">
        <v>27</v>
      </c>
      <c r="E11" s="6" t="n">
        <v>67701.8</v>
      </c>
      <c r="F11" s="6" t="n">
        <v>767</v>
      </c>
      <c r="G11" s="7" t="n">
        <v>0</v>
      </c>
      <c r="H11" s="7" t="n">
        <v>0</v>
      </c>
      <c r="I11" s="7" t="n">
        <v>0</v>
      </c>
      <c r="J11" s="7" t="n">
        <v>0</v>
      </c>
      <c r="K11" s="16" t="n">
        <f aca="false">SUM(E11:H11)</f>
        <v>68468.8</v>
      </c>
      <c r="L11" s="6" t="n">
        <v>68468.8</v>
      </c>
      <c r="M11" s="16" t="n">
        <f aca="false">L11-K11</f>
        <v>0</v>
      </c>
      <c r="N11" s="6" t="n">
        <v>-61929.67</v>
      </c>
      <c r="O11" s="6" t="n">
        <v>-5329.38</v>
      </c>
      <c r="P11" s="7" t="n">
        <v>0</v>
      </c>
      <c r="Q11" s="7" t="n">
        <v>0</v>
      </c>
      <c r="R11" s="7" t="n">
        <v>0</v>
      </c>
      <c r="S11" s="7" t="n">
        <v>0</v>
      </c>
      <c r="T11" s="6" t="n">
        <v>-67259.05</v>
      </c>
      <c r="U11" s="6" t="n">
        <v>5772.13</v>
      </c>
      <c r="V11" s="6" t="n">
        <v>1209.75</v>
      </c>
    </row>
    <row r="12" customFormat="false" ht="15" hidden="false" customHeight="false" outlineLevel="1" collapsed="false">
      <c r="A12" s="2" t="s">
        <v>134</v>
      </c>
      <c r="B12" s="2" t="s">
        <v>155</v>
      </c>
      <c r="C12" s="2" t="s">
        <v>156</v>
      </c>
      <c r="D12" s="2" t="s">
        <v>27</v>
      </c>
      <c r="E12" s="6" t="n">
        <v>362</v>
      </c>
      <c r="F12" s="6" t="n">
        <v>925.17</v>
      </c>
      <c r="G12" s="7" t="n">
        <v>0</v>
      </c>
      <c r="H12" s="7" t="n">
        <v>0</v>
      </c>
      <c r="I12" s="7" t="n">
        <v>0</v>
      </c>
      <c r="J12" s="7" t="n">
        <v>0</v>
      </c>
      <c r="K12" s="16" t="n">
        <f aca="false">SUM(E12:H12)</f>
        <v>1287.17</v>
      </c>
      <c r="L12" s="6" t="n">
        <v>1287.17</v>
      </c>
      <c r="M12" s="16" t="n">
        <f aca="false">L12-K12</f>
        <v>0</v>
      </c>
      <c r="N12" s="6" t="n">
        <v>-362</v>
      </c>
      <c r="O12" s="6" t="n">
        <v>-925.17</v>
      </c>
      <c r="P12" s="7" t="n">
        <v>0</v>
      </c>
      <c r="Q12" s="7" t="n">
        <v>0</v>
      </c>
      <c r="R12" s="7" t="n">
        <v>0</v>
      </c>
      <c r="S12" s="7" t="n">
        <v>0</v>
      </c>
      <c r="T12" s="6" t="n">
        <v>-1287.17</v>
      </c>
      <c r="U12" s="7" t="n">
        <v>0</v>
      </c>
      <c r="V12" s="7" t="n">
        <v>0</v>
      </c>
    </row>
    <row r="13" customFormat="false" ht="15" hidden="false" customHeight="false" outlineLevel="1" collapsed="false">
      <c r="A13" s="2" t="s">
        <v>134</v>
      </c>
      <c r="B13" s="2" t="s">
        <v>157</v>
      </c>
      <c r="C13" s="2" t="s">
        <v>158</v>
      </c>
      <c r="D13" s="2" t="s">
        <v>27</v>
      </c>
      <c r="E13" s="6" t="n">
        <v>27949.83</v>
      </c>
      <c r="F13" s="6" t="n">
        <v>68279</v>
      </c>
      <c r="G13" s="7" t="n">
        <v>0</v>
      </c>
      <c r="H13" s="6" t="n">
        <v>-96228.83</v>
      </c>
      <c r="I13" s="7" t="n">
        <v>0</v>
      </c>
      <c r="J13" s="7" t="n">
        <v>0</v>
      </c>
      <c r="K13" s="16" t="n">
        <f aca="false">SUM(E13:H13)</f>
        <v>0</v>
      </c>
      <c r="L13" s="7" t="n">
        <v>0</v>
      </c>
      <c r="M13" s="16" t="n">
        <f aca="false">L13-K13</f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6" t="n">
        <v>27949.83</v>
      </c>
      <c r="V13" s="7" t="n">
        <v>0</v>
      </c>
    </row>
    <row r="14" customFormat="false" ht="15" hidden="false" customHeight="false" outlineLevel="1" collapsed="false">
      <c r="A14" s="2" t="s">
        <v>134</v>
      </c>
      <c r="B14" s="2" t="s">
        <v>159</v>
      </c>
      <c r="C14" s="2" t="s">
        <v>160</v>
      </c>
      <c r="D14" s="2" t="s">
        <v>27</v>
      </c>
      <c r="E14" s="6" t="n">
        <v>162331.07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16" t="n">
        <f aca="false">SUM(E14:H14)</f>
        <v>162331.07</v>
      </c>
      <c r="L14" s="6" t="n">
        <v>162331.07</v>
      </c>
      <c r="M14" s="16" t="n">
        <f aca="false">L14-K14</f>
        <v>0</v>
      </c>
      <c r="N14" s="6" t="n">
        <v>-48699.32</v>
      </c>
      <c r="O14" s="7" t="n">
        <v>0</v>
      </c>
      <c r="P14" s="7" t="n">
        <v>0</v>
      </c>
      <c r="Q14" s="7" t="n">
        <v>0</v>
      </c>
      <c r="R14" s="7" t="n">
        <v>0</v>
      </c>
      <c r="S14" s="6" t="n">
        <v>24349.66</v>
      </c>
      <c r="T14" s="6" t="n">
        <v>-24349.66</v>
      </c>
      <c r="U14" s="6" t="n">
        <v>113631.75</v>
      </c>
      <c r="V14" s="6" t="n">
        <v>137981.41</v>
      </c>
    </row>
    <row r="15" customFormat="false" ht="15" hidden="false" customHeight="false" outlineLevel="0" collapsed="false">
      <c r="A15" s="8" t="s">
        <v>122</v>
      </c>
      <c r="B15" s="8"/>
      <c r="C15" s="8"/>
      <c r="D15" s="8" t="s">
        <v>27</v>
      </c>
      <c r="E15" s="9" t="n">
        <v>7951457.14</v>
      </c>
      <c r="F15" s="9" t="n">
        <v>214150.78</v>
      </c>
      <c r="G15" s="9" t="n">
        <v>-946.25</v>
      </c>
      <c r="H15" s="10" t="n">
        <v>0</v>
      </c>
      <c r="I15" s="10" t="n">
        <v>0</v>
      </c>
      <c r="J15" s="10" t="n">
        <v>0</v>
      </c>
      <c r="K15" s="17" t="n">
        <f aca="false">SUM(K2:K14)</f>
        <v>8164661.67</v>
      </c>
      <c r="L15" s="9" t="n">
        <v>8164661.67</v>
      </c>
      <c r="M15" s="17" t="n">
        <f aca="false">SUM(M2:M14)</f>
        <v>0</v>
      </c>
      <c r="N15" s="9" t="n">
        <v>-4707816.84</v>
      </c>
      <c r="O15" s="9" t="n">
        <v>-178040.99</v>
      </c>
      <c r="P15" s="9" t="n">
        <v>945.25</v>
      </c>
      <c r="Q15" s="10" t="n">
        <v>0</v>
      </c>
      <c r="R15" s="10" t="n">
        <v>0</v>
      </c>
      <c r="S15" s="9" t="n">
        <v>24349.66</v>
      </c>
      <c r="T15" s="9" t="n">
        <v>-4860562.92</v>
      </c>
      <c r="U15" s="9" t="n">
        <v>3243640.3</v>
      </c>
      <c r="V15" s="9" t="n">
        <v>3304098.75</v>
      </c>
    </row>
    <row r="16" customFormat="false" ht="15" hidden="false" customHeight="false" outlineLevel="0" collapsed="false">
      <c r="A16" s="11"/>
      <c r="B16" s="11"/>
      <c r="C16" s="11"/>
      <c r="D16" s="11" t="s">
        <v>27</v>
      </c>
      <c r="E16" s="12" t="n">
        <v>7951457.14</v>
      </c>
      <c r="F16" s="12" t="n">
        <v>214150.78</v>
      </c>
      <c r="G16" s="12" t="n">
        <v>-946.25</v>
      </c>
      <c r="H16" s="13" t="n">
        <v>0</v>
      </c>
      <c r="I16" s="13" t="n">
        <v>0</v>
      </c>
      <c r="J16" s="13" t="n">
        <v>0</v>
      </c>
      <c r="K16" s="18" t="n">
        <f aca="false">SUM(K2:K14)</f>
        <v>8164661.67</v>
      </c>
      <c r="L16" s="12" t="n">
        <v>8164661.67</v>
      </c>
      <c r="M16" s="18" t="n">
        <f aca="false">SUM(M2:M14)</f>
        <v>0</v>
      </c>
      <c r="N16" s="12" t="n">
        <v>-4707816.84</v>
      </c>
      <c r="O16" s="12" t="n">
        <v>-178040.99</v>
      </c>
      <c r="P16" s="12" t="n">
        <v>945.25</v>
      </c>
      <c r="Q16" s="13" t="n">
        <v>0</v>
      </c>
      <c r="R16" s="13" t="n">
        <v>0</v>
      </c>
      <c r="S16" s="12" t="n">
        <v>24349.66</v>
      </c>
      <c r="T16" s="12" t="n">
        <v>-4860562.92</v>
      </c>
      <c r="U16" s="12" t="n">
        <v>3243640.3</v>
      </c>
      <c r="V16" s="12" t="n">
        <v>3304098.75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openpyxl</dc:creator>
  <dc:description/>
  <dc:language>en-US</dc:language>
  <cp:lastModifiedBy/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