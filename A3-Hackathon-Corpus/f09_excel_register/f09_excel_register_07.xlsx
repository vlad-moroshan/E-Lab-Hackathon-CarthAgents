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<sst xmlns="http://schemas.openxmlformats.org/spreadsheetml/2006/main" count="304" uniqueCount="149">
  <si>
    <t xml:space="preserve">Jahresabschluss per 30.06.2025</t>
  </si>
  <si>
    <t xml:space="preserve">BK: 7349</t>
  </si>
  <si>
    <t xml:space="preserve">SUMMEN</t>
  </si>
  <si>
    <t xml:space="preserve">Anlage</t>
  </si>
  <si>
    <t xml:space="preserve">Unter-nummer</t>
  </si>
  <si>
    <t xml:space="preserve">Aktivierung am</t>
  </si>
  <si>
    <t xml:space="preserve">Anlagenbezeichnung</t>
  </si>
  <si>
    <t xml:space="preserve">Währ-ung</t>
  </si>
  <si>
    <t xml:space="preserve">AHK GJ-Beg</t>
  </si>
  <si>
    <t xml:space="preserve">Zugang</t>
  </si>
  <si>
    <t xml:space="preserve">Abgang</t>
  </si>
  <si>
    <t xml:space="preserve">Umbuchung</t>
  </si>
  <si>
    <t xml:space="preserve">Nachaktivg</t>
  </si>
  <si>
    <t xml:space="preserve">Invest.Förderg</t>
  </si>
  <si>
    <t xml:space="preserve">aktuelle AHK</t>
  </si>
  <si>
    <t xml:space="preserve">AfA GJ-Beg</t>
  </si>
  <si>
    <t xml:space="preserve">AfA des Jahres</t>
  </si>
  <si>
    <t xml:space="preserve">AfA Abgang</t>
  </si>
  <si>
    <t xml:space="preserve">AfA Umbuchung</t>
  </si>
  <si>
    <t xml:space="preserve">AfA Nachaktivg</t>
  </si>
  <si>
    <t xml:space="preserve">Zuschreibungen</t>
  </si>
  <si>
    <t xml:space="preserve">kumulierte AfA</t>
  </si>
  <si>
    <t xml:space="preserve">Buchwrt GJ-Beg</t>
  </si>
  <si>
    <t xml:space="preserve">lfd Buchwert</t>
  </si>
  <si>
    <t xml:space="preserve">100001001</t>
  </si>
  <si>
    <t xml:space="preserve">0</t>
  </si>
  <si>
    <t xml:space="preserve">Finanzbuchhaltung Software Halle 1</t>
  </si>
  <si>
    <t xml:space="preserve">EUR</t>
  </si>
  <si>
    <t xml:space="preserve">100001002</t>
  </si>
  <si>
    <t xml:space="preserve">CAD-Software Lizenz Nr. 2</t>
  </si>
  <si>
    <t xml:space="preserve">100001003</t>
  </si>
  <si>
    <t xml:space="preserve">Warenwirtschaft Modul Lager Typ F385</t>
  </si>
  <si>
    <t xml:space="preserve">100001004</t>
  </si>
  <si>
    <t xml:space="preserve">Warenwirtschaft Modul Lager Nr. 16</t>
  </si>
  <si>
    <t xml:space="preserve">100001005</t>
  </si>
  <si>
    <t xml:space="preserve">Finanzbuchhaltung Software Typ F912</t>
  </si>
  <si>
    <t xml:space="preserve">200001001</t>
  </si>
  <si>
    <t xml:space="preserve">Erweiterungsfläche</t>
  </si>
  <si>
    <t xml:space="preserve">210001001</t>
  </si>
  <si>
    <t xml:space="preserve">Werkstattgebäude</t>
  </si>
  <si>
    <t xml:space="preserve">300001001</t>
  </si>
  <si>
    <t xml:space="preserve">CNC-Drehmaschine Typ R597</t>
  </si>
  <si>
    <t xml:space="preserve">1</t>
  </si>
  <si>
    <t xml:space="preserve">CNC-Drehmaschine Typ R597 Erweiterung</t>
  </si>
  <si>
    <t xml:space="preserve">300001002</t>
  </si>
  <si>
    <t xml:space="preserve">Laserschneidanlage</t>
  </si>
  <si>
    <t xml:space="preserve">Laserschneidanlage Zusatzmodul</t>
  </si>
  <si>
    <t xml:space="preserve">300001003</t>
  </si>
  <si>
    <t xml:space="preserve">CNC-Drehmaschine Halle 3</t>
  </si>
  <si>
    <t xml:space="preserve">300001004</t>
  </si>
  <si>
    <t xml:space="preserve">3D-Koordinatenmessmaschine (gebraucht)</t>
  </si>
  <si>
    <t xml:space="preserve">300001005</t>
  </si>
  <si>
    <t xml:space="preserve">Abkantpresse</t>
  </si>
  <si>
    <t xml:space="preserve">300001006</t>
  </si>
  <si>
    <t xml:space="preserve">Teilewaschanlage Halle 1</t>
  </si>
  <si>
    <t xml:space="preserve">310001001</t>
  </si>
  <si>
    <t xml:space="preserve">Absauganlage Nr. 11</t>
  </si>
  <si>
    <t xml:space="preserve">310001002</t>
  </si>
  <si>
    <t xml:space="preserve">Brückenkran 5t</t>
  </si>
  <si>
    <t xml:space="preserve">310001004</t>
  </si>
  <si>
    <t xml:space="preserve">Notstromaggregat</t>
  </si>
  <si>
    <t xml:space="preserve">400001001</t>
  </si>
  <si>
    <t xml:space="preserve">Palettenregal</t>
  </si>
  <si>
    <t xml:space="preserve">400001002</t>
  </si>
  <si>
    <t xml:space="preserve">Hochdruckreiniger Typ X278</t>
  </si>
  <si>
    <t xml:space="preserve">400001003</t>
  </si>
  <si>
    <t xml:space="preserve">Werkbank</t>
  </si>
  <si>
    <t xml:space="preserve">400001004</t>
  </si>
  <si>
    <t xml:space="preserve">410001001</t>
  </si>
  <si>
    <t xml:space="preserve">Schreibtisch höhenverstellbar (gebraucht)</t>
  </si>
  <si>
    <t xml:space="preserve">410001002</t>
  </si>
  <si>
    <t xml:space="preserve">Aktenschrank Nr. 5</t>
  </si>
  <si>
    <t xml:space="preserve">420001001</t>
  </si>
  <si>
    <t xml:space="preserve">Pkw Elektro</t>
  </si>
  <si>
    <t xml:space="preserve">420001002</t>
  </si>
  <si>
    <t xml:space="preserve">Pkw Kombi Diesel</t>
  </si>
  <si>
    <t xml:space="preserve">420001003</t>
  </si>
  <si>
    <t xml:space="preserve">Pkw Mittelklasse Hybrid Halle 4</t>
  </si>
  <si>
    <t xml:space="preserve">430001001</t>
  </si>
  <si>
    <t xml:space="preserve">Sattelzugmaschine Nr. 22</t>
  </si>
  <si>
    <t xml:space="preserve">430001002</t>
  </si>
  <si>
    <t xml:space="preserve">Tandemanhänger Halle 5</t>
  </si>
  <si>
    <t xml:space="preserve">430001003</t>
  </si>
  <si>
    <t xml:space="preserve">Sattelzugmaschine Halle 3</t>
  </si>
  <si>
    <t xml:space="preserve">430001004</t>
  </si>
  <si>
    <t xml:space="preserve">Sattelzugmaschine (gebraucht)</t>
  </si>
  <si>
    <t xml:space="preserve">440001001</t>
  </si>
  <si>
    <t xml:space="preserve">Netzwerk-Switch 48 Port Typ B726</t>
  </si>
  <si>
    <t xml:space="preserve">440001002</t>
  </si>
  <si>
    <t xml:space="preserve">NAS-Speicher Nr. 4</t>
  </si>
  <si>
    <t xml:space="preserve">440001003</t>
  </si>
  <si>
    <t xml:space="preserve">Firewall-Appliance (gebraucht)</t>
  </si>
  <si>
    <t xml:space="preserve">440001004</t>
  </si>
  <si>
    <t xml:space="preserve">Notebook Typ B590</t>
  </si>
  <si>
    <t xml:space="preserve">440001005</t>
  </si>
  <si>
    <t xml:space="preserve">Netzwerk-Switch 48 Port</t>
  </si>
  <si>
    <t xml:space="preserve">490001002</t>
  </si>
  <si>
    <t xml:space="preserve">Stehleuchte</t>
  </si>
  <si>
    <t xml:space="preserve">500001001</t>
  </si>
  <si>
    <t xml:space="preserve">AiB Teilewaschanlage Halle 1</t>
  </si>
  <si>
    <t xml:space="preserve">600001001</t>
  </si>
  <si>
    <t xml:space="preserve">Anteile Servicegesellschaft</t>
  </si>
  <si>
    <t xml:space="preserve">600001002</t>
  </si>
  <si>
    <t xml:space="preserve">Geschäftsanteile Genossenschaftsbank</t>
  </si>
  <si>
    <t xml:space="preserve">600001003</t>
  </si>
  <si>
    <t xml:space="preserve">Buchungskreis 7349</t>
  </si>
  <si>
    <t xml:space="preserve">Abstimmung Bilanz</t>
  </si>
  <si>
    <t xml:space="preserve">lfd Buchwert lt. Anlagengitter</t>
  </si>
  <si>
    <t xml:space="preserve">Immaterielle VG lt. Bilanz</t>
  </si>
  <si>
    <t xml:space="preserve">Sachanlagen lt. Bilanz</t>
  </si>
  <si>
    <t xml:space="preserve">Finanzanlagen lt. Bilanz</t>
  </si>
  <si>
    <t xml:space="preserve">Differenz</t>
  </si>
  <si>
    <t xml:space="preserve">AfA-Vorschau GJ 2026</t>
  </si>
  <si>
    <t xml:space="preserve">Anlagenklasse</t>
  </si>
  <si>
    <t xml:space="preserve">Bezeichnung</t>
  </si>
  <si>
    <t xml:space="preserve">Buchwert</t>
  </si>
  <si>
    <t xml:space="preserve">Plan-AfA</t>
  </si>
  <si>
    <t xml:space="preserve">Restbuchwert</t>
  </si>
  <si>
    <t xml:space="preserve">1000</t>
  </si>
  <si>
    <t xml:space="preserve">EDV-Software</t>
  </si>
  <si>
    <t xml:space="preserve">2000</t>
  </si>
  <si>
    <t xml:space="preserve">Grund und Boden</t>
  </si>
  <si>
    <t xml:space="preserve">2100</t>
  </si>
  <si>
    <t xml:space="preserve">Fabrikbauten</t>
  </si>
  <si>
    <t xml:space="preserve">3000</t>
  </si>
  <si>
    <t xml:space="preserve">Maschinen</t>
  </si>
  <si>
    <t xml:space="preserve">3100</t>
  </si>
  <si>
    <t xml:space="preserve">Technische Anlagen</t>
  </si>
  <si>
    <t xml:space="preserve">4000</t>
  </si>
  <si>
    <t xml:space="preserve">Betriebsausstattung</t>
  </si>
  <si>
    <t xml:space="preserve">4100</t>
  </si>
  <si>
    <t xml:space="preserve">Büroeinrichtung</t>
  </si>
  <si>
    <t xml:space="preserve">4200</t>
  </si>
  <si>
    <t xml:space="preserve">Pkw</t>
  </si>
  <si>
    <t xml:space="preserve">4300</t>
  </si>
  <si>
    <t xml:space="preserve">Lkw</t>
  </si>
  <si>
    <t xml:space="preserve">4400</t>
  </si>
  <si>
    <t xml:space="preserve">EDV-Hardware</t>
  </si>
  <si>
    <t xml:space="preserve">4900</t>
  </si>
  <si>
    <t xml:space="preserve">Geringwertige Wirtschaftsgüter</t>
  </si>
  <si>
    <t xml:space="preserve">5000</t>
  </si>
  <si>
    <t xml:space="preserve">Anlagen im Bau</t>
  </si>
  <si>
    <t xml:space="preserve">6000</t>
  </si>
  <si>
    <t xml:space="preserve">Beteiligungen</t>
  </si>
  <si>
    <t xml:space="preserve">Buchungskreis</t>
  </si>
  <si>
    <t xml:space="preserve">SUMME AHK / Zugang / Abgang / Umbuchung</t>
  </si>
  <si>
    <t xml:space="preserve">Differenz zu aktuelle AHK</t>
  </si>
  <si>
    <t xml:space="preserve">7349</t>
  </si>
  <si>
    <t xml:space="preserve">GWG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</si>
</sst>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dd\.mm\.yyyy"/>
    <numFmt numFmtId="167" formatCode="#,##0.00"/>
    <numFmt numFmtId="168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E2EFDA"/>
      </patternFill>
    </fill>
    <fill>
      <patternFill patternType="solid">
        <fgColor rgb="FFFFFB8B"/>
        <bgColor rgb="FFFFFFCC"/>
      </patternFill>
    </fill>
    <fill>
      <patternFill patternType="solid">
        <fgColor rgb="FFFFF844"/>
        <bgColor rgb="FFFFFF00"/>
      </patternFill>
    </fill>
    <fill>
      <patternFill patternType="solid">
        <fgColor rgb="FFE2EFDA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84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B8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U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2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6"/>
    <col collapsed="false" customWidth="true" hidden="false" outlineLevel="0" max="21" min="6" style="0" width="15"/>
  </cols>
  <sheetData>
    <row r="4" customFormat="false" ht="15" hidden="false" customHeight="false" outlineLevel="0" collapsed="false">
      <c r="A4" s="1" t="s">
        <v>0</v>
      </c>
    </row>
    <row r="6" customFormat="false" ht="15" hidden="false" customHeight="false" outlineLevel="0" collapsed="false">
      <c r="A6" s="2" t="s">
        <v>1</v>
      </c>
    </row>
    <row r="9" customFormat="false" ht="15" hidden="false" customHeight="false" outlineLevel="0" collapsed="false">
      <c r="A9" s="1" t="s">
        <v>2</v>
      </c>
      <c r="B9" s="1"/>
      <c r="C9" s="1"/>
      <c r="D9" s="1"/>
      <c r="E9" s="1"/>
      <c r="F9" s="3" t="n">
        <f aca="false">SUBTOTAL(9,F14:F54)</f>
        <v>1546304.91</v>
      </c>
      <c r="G9" s="3" t="n">
        <f aca="false">SUBTOTAL(9,G14:G54)</f>
        <v>1087717.62</v>
      </c>
      <c r="H9" s="3" t="n">
        <f aca="false">SUBTOTAL(9,H14:H54)</f>
        <v>-1560.93</v>
      </c>
      <c r="I9" s="3" t="n">
        <f aca="false">SUBTOTAL(9,I14:I54)</f>
        <v>0</v>
      </c>
      <c r="J9" s="3" t="n">
        <f aca="false">SUBTOTAL(9,J14:J54)</f>
        <v>0</v>
      </c>
      <c r="K9" s="3" t="n">
        <f aca="false">SUBTOTAL(9,K14:K54)</f>
        <v>0</v>
      </c>
      <c r="L9" s="3" t="n">
        <f aca="false">SUBTOTAL(9,L14:L54)</f>
        <v>2632461.6</v>
      </c>
      <c r="M9" s="3" t="n">
        <f aca="false">SUBTOTAL(9,M14:M54)</f>
        <v>-898499.19</v>
      </c>
      <c r="N9" s="3" t="n">
        <f aca="false">SUBTOTAL(9,N14:N54)</f>
        <v>-147288.09</v>
      </c>
      <c r="O9" s="3" t="n">
        <f aca="false">SUBTOTAL(9,O14:O54)</f>
        <v>1559.93</v>
      </c>
      <c r="P9" s="3" t="n">
        <f aca="false">SUBTOTAL(9,P14:P54)</f>
        <v>0</v>
      </c>
      <c r="Q9" s="3" t="n">
        <f aca="false">SUBTOTAL(9,Q14:Q54)</f>
        <v>0</v>
      </c>
      <c r="R9" s="3" t="n">
        <f aca="false">SUBTOTAL(9,R14:R54)</f>
        <v>3619.5</v>
      </c>
      <c r="S9" s="3" t="n">
        <f aca="false">SUBTOTAL(9,S14:S54)</f>
        <v>-1040607.85</v>
      </c>
      <c r="T9" s="3" t="n">
        <f aca="false">SUBTOTAL(9,T14:T54)</f>
        <v>647805.72</v>
      </c>
      <c r="U9" s="3" t="n">
        <f aca="false">SUBTOTAL(9,U14:U54)</f>
        <v>1591853.75</v>
      </c>
    </row>
    <row r="13" customFormat="false" ht="30" hidden="false" customHeight="true" outlineLevel="0" collapsed="false">
      <c r="A13" s="4" t="s">
        <v>3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  <c r="I13" s="4" t="s">
        <v>11</v>
      </c>
      <c r="J13" s="4" t="s">
        <v>12</v>
      </c>
      <c r="K13" s="4" t="s">
        <v>13</v>
      </c>
      <c r="L13" s="4" t="s">
        <v>14</v>
      </c>
      <c r="M13" s="4" t="s">
        <v>15</v>
      </c>
      <c r="N13" s="4" t="s">
        <v>16</v>
      </c>
      <c r="O13" s="4" t="s">
        <v>17</v>
      </c>
      <c r="P13" s="4" t="s">
        <v>18</v>
      </c>
      <c r="Q13" s="4" t="s">
        <v>19</v>
      </c>
      <c r="R13" s="4" t="s">
        <v>20</v>
      </c>
      <c r="S13" s="4" t="s">
        <v>21</v>
      </c>
      <c r="T13" s="4" t="s">
        <v>22</v>
      </c>
      <c r="U13" s="4" t="s">
        <v>23</v>
      </c>
    </row>
    <row r="14" customFormat="false" ht="15" hidden="true" customHeight="false" outlineLevel="2" collapsed="false">
      <c r="A14" s="2" t="s">
        <v>24</v>
      </c>
      <c r="B14" s="2" t="s">
        <v>25</v>
      </c>
      <c r="C14" s="5" t="n">
        <v>42532</v>
      </c>
      <c r="D14" s="2" t="s">
        <v>26</v>
      </c>
      <c r="E14" s="2" t="s">
        <v>27</v>
      </c>
      <c r="F14" s="6" t="n">
        <v>77762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6" t="n">
        <v>77762</v>
      </c>
      <c r="M14" s="6" t="n">
        <v>-77761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6" t="n">
        <v>-77761</v>
      </c>
      <c r="T14" s="6" t="n">
        <v>1</v>
      </c>
      <c r="U14" s="6" t="n">
        <v>1</v>
      </c>
    </row>
    <row r="15" customFormat="false" ht="15" hidden="true" customHeight="false" outlineLevel="2" collapsed="false">
      <c r="A15" s="2" t="s">
        <v>28</v>
      </c>
      <c r="B15" s="2" t="s">
        <v>25</v>
      </c>
      <c r="C15" s="5" t="n">
        <v>43554</v>
      </c>
      <c r="D15" s="2" t="s">
        <v>29</v>
      </c>
      <c r="E15" s="2" t="s">
        <v>27</v>
      </c>
      <c r="F15" s="6" t="n">
        <v>3770.9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6" t="n">
        <v>3770.9</v>
      </c>
      <c r="M15" s="6" t="n">
        <v>-3769.9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6" t="n">
        <v>-3769.9</v>
      </c>
      <c r="T15" s="6" t="n">
        <v>1</v>
      </c>
      <c r="U15" s="6" t="n">
        <v>1</v>
      </c>
    </row>
    <row r="16" customFormat="false" ht="15" hidden="true" customHeight="false" outlineLevel="2" collapsed="false">
      <c r="A16" s="2" t="s">
        <v>30</v>
      </c>
      <c r="B16" s="2" t="s">
        <v>25</v>
      </c>
      <c r="C16" s="5" t="n">
        <v>44281</v>
      </c>
      <c r="D16" s="2" t="s">
        <v>31</v>
      </c>
      <c r="E16" s="2" t="s">
        <v>27</v>
      </c>
      <c r="F16" s="6" t="n">
        <v>2153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6" t="n">
        <v>2153</v>
      </c>
      <c r="M16" s="6" t="n">
        <v>-2152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6" t="n">
        <v>-2152</v>
      </c>
      <c r="T16" s="6" t="n">
        <v>1</v>
      </c>
      <c r="U16" s="6" t="n">
        <v>1</v>
      </c>
    </row>
    <row r="17" customFormat="false" ht="15" hidden="true" customHeight="false" outlineLevel="2" collapsed="false">
      <c r="A17" s="2" t="s">
        <v>32</v>
      </c>
      <c r="B17" s="2" t="s">
        <v>25</v>
      </c>
      <c r="C17" s="5" t="n">
        <v>45494</v>
      </c>
      <c r="D17" s="2" t="s">
        <v>33</v>
      </c>
      <c r="E17" s="2" t="s">
        <v>27</v>
      </c>
      <c r="F17" s="7" t="n">
        <v>0</v>
      </c>
      <c r="G17" s="6" t="n">
        <v>93560.36</v>
      </c>
      <c r="H17" s="7" t="n">
        <v>0</v>
      </c>
      <c r="I17" s="7" t="n">
        <v>0</v>
      </c>
      <c r="J17" s="7" t="n">
        <v>0</v>
      </c>
      <c r="K17" s="7" t="n">
        <v>0</v>
      </c>
      <c r="L17" s="6" t="n">
        <v>93560.36</v>
      </c>
      <c r="M17" s="7" t="n">
        <v>0</v>
      </c>
      <c r="N17" s="6" t="n">
        <v>-18712.07</v>
      </c>
      <c r="O17" s="7" t="n">
        <v>0</v>
      </c>
      <c r="P17" s="7" t="n">
        <v>0</v>
      </c>
      <c r="Q17" s="7" t="n">
        <v>0</v>
      </c>
      <c r="R17" s="7" t="n">
        <v>0</v>
      </c>
      <c r="S17" s="6" t="n">
        <v>-18712.07</v>
      </c>
      <c r="T17" s="7" t="n">
        <v>0</v>
      </c>
      <c r="U17" s="6" t="n">
        <v>74848.29</v>
      </c>
    </row>
    <row r="18" customFormat="false" ht="15" hidden="true" customHeight="false" outlineLevel="2" collapsed="false">
      <c r="A18" s="2" t="s">
        <v>34</v>
      </c>
      <c r="B18" s="2" t="s">
        <v>25</v>
      </c>
      <c r="C18" s="5" t="n">
        <v>45702</v>
      </c>
      <c r="D18" s="2" t="s">
        <v>35</v>
      </c>
      <c r="E18" s="2" t="s">
        <v>27</v>
      </c>
      <c r="F18" s="7" t="n">
        <v>0</v>
      </c>
      <c r="G18" s="6" t="n">
        <v>119861.31</v>
      </c>
      <c r="H18" s="7" t="n">
        <v>0</v>
      </c>
      <c r="I18" s="7" t="n">
        <v>0</v>
      </c>
      <c r="J18" s="7" t="n">
        <v>0</v>
      </c>
      <c r="K18" s="7" t="n">
        <v>0</v>
      </c>
      <c r="L18" s="6" t="n">
        <v>119861.31</v>
      </c>
      <c r="M18" s="7" t="n">
        <v>0</v>
      </c>
      <c r="N18" s="6" t="n">
        <v>-9988.44</v>
      </c>
      <c r="O18" s="7" t="n">
        <v>0</v>
      </c>
      <c r="P18" s="7" t="n">
        <v>0</v>
      </c>
      <c r="Q18" s="7" t="n">
        <v>0</v>
      </c>
      <c r="R18" s="7" t="n">
        <v>0</v>
      </c>
      <c r="S18" s="6" t="n">
        <v>-9988.44</v>
      </c>
      <c r="T18" s="7" t="n">
        <v>0</v>
      </c>
      <c r="U18" s="6" t="n">
        <v>109872.87</v>
      </c>
    </row>
    <row r="19" customFormat="false" ht="15" hidden="true" customHeight="false" outlineLevel="2" collapsed="false">
      <c r="A19" s="2" t="s">
        <v>36</v>
      </c>
      <c r="B19" s="2" t="s">
        <v>25</v>
      </c>
      <c r="C19" s="5" t="n">
        <v>43593</v>
      </c>
      <c r="D19" s="2" t="s">
        <v>37</v>
      </c>
      <c r="E19" s="2" t="s">
        <v>27</v>
      </c>
      <c r="F19" s="6" t="n">
        <v>151911.55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6" t="n">
        <v>151911.55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6" t="n">
        <v>151911.55</v>
      </c>
      <c r="U19" s="6" t="n">
        <v>151911.55</v>
      </c>
    </row>
    <row r="20" customFormat="false" ht="15" hidden="true" customHeight="false" outlineLevel="2" collapsed="false">
      <c r="A20" s="2" t="s">
        <v>38</v>
      </c>
      <c r="B20" s="2" t="s">
        <v>25</v>
      </c>
      <c r="C20" s="5" t="n">
        <v>32589</v>
      </c>
      <c r="D20" s="2" t="s">
        <v>39</v>
      </c>
      <c r="E20" s="2" t="s">
        <v>27</v>
      </c>
      <c r="F20" s="6" t="n">
        <v>335041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6" t="n">
        <v>335041</v>
      </c>
      <c r="M20" s="6" t="n">
        <v>-335040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6" t="n">
        <v>-335040</v>
      </c>
      <c r="T20" s="6" t="n">
        <v>1</v>
      </c>
      <c r="U20" s="6" t="n">
        <v>1</v>
      </c>
    </row>
    <row r="21" customFormat="false" ht="15" hidden="true" customHeight="false" outlineLevel="2" collapsed="false">
      <c r="A21" s="2" t="s">
        <v>40</v>
      </c>
      <c r="B21" s="2" t="s">
        <v>25</v>
      </c>
      <c r="C21" s="5" t="n">
        <v>40137</v>
      </c>
      <c r="D21" s="2" t="s">
        <v>41</v>
      </c>
      <c r="E21" s="2" t="s">
        <v>27</v>
      </c>
      <c r="F21" s="6" t="n">
        <v>31496.56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6" t="n">
        <v>31496.56</v>
      </c>
      <c r="M21" s="6" t="n">
        <v>-31495.56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6" t="n">
        <v>-31495.56</v>
      </c>
      <c r="T21" s="6" t="n">
        <v>1</v>
      </c>
      <c r="U21" s="6" t="n">
        <v>1</v>
      </c>
    </row>
    <row r="22" customFormat="false" ht="15" hidden="true" customHeight="false" outlineLevel="2" collapsed="false">
      <c r="A22" s="2" t="s">
        <v>40</v>
      </c>
      <c r="B22" s="2" t="s">
        <v>42</v>
      </c>
      <c r="C22" s="5" t="n">
        <v>41315</v>
      </c>
      <c r="D22" s="2" t="s">
        <v>43</v>
      </c>
      <c r="E22" s="2" t="s">
        <v>27</v>
      </c>
      <c r="F22" s="6" t="n">
        <v>8681.78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6" t="n">
        <v>8681.78</v>
      </c>
      <c r="M22" s="6" t="n">
        <v>-7624.38</v>
      </c>
      <c r="N22" s="6" t="n">
        <v>-667.83</v>
      </c>
      <c r="O22" s="7" t="n">
        <v>0</v>
      </c>
      <c r="P22" s="7" t="n">
        <v>0</v>
      </c>
      <c r="Q22" s="7" t="n">
        <v>0</v>
      </c>
      <c r="R22" s="7" t="n">
        <v>0</v>
      </c>
      <c r="S22" s="6" t="n">
        <v>-8292.21</v>
      </c>
      <c r="T22" s="6" t="n">
        <v>1057.4</v>
      </c>
      <c r="U22" s="6" t="n">
        <v>389.57</v>
      </c>
    </row>
    <row r="23" customFormat="false" ht="15" hidden="true" customHeight="false" outlineLevel="2" collapsed="false">
      <c r="A23" s="2" t="s">
        <v>44</v>
      </c>
      <c r="B23" s="2" t="s">
        <v>25</v>
      </c>
      <c r="C23" s="5" t="n">
        <v>43700</v>
      </c>
      <c r="D23" s="2" t="s">
        <v>45</v>
      </c>
      <c r="E23" s="2" t="s">
        <v>27</v>
      </c>
      <c r="F23" s="6" t="n">
        <v>276305.73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6" t="n">
        <v>276305.73</v>
      </c>
      <c r="M23" s="6" t="n">
        <v>-90566.88</v>
      </c>
      <c r="N23" s="6" t="n">
        <v>-18420.38</v>
      </c>
      <c r="O23" s="7" t="n">
        <v>0</v>
      </c>
      <c r="P23" s="7" t="n">
        <v>0</v>
      </c>
      <c r="Q23" s="7" t="n">
        <v>0</v>
      </c>
      <c r="R23" s="7" t="n">
        <v>0</v>
      </c>
      <c r="S23" s="6" t="n">
        <v>-108987.26</v>
      </c>
      <c r="T23" s="6" t="n">
        <v>185738.85</v>
      </c>
      <c r="U23" s="6" t="n">
        <v>167318.47</v>
      </c>
    </row>
    <row r="24" customFormat="false" ht="15" hidden="true" customHeight="false" outlineLevel="2" collapsed="false">
      <c r="A24" s="2" t="s">
        <v>44</v>
      </c>
      <c r="B24" s="2" t="s">
        <v>42</v>
      </c>
      <c r="C24" s="5" t="n">
        <v>45524</v>
      </c>
      <c r="D24" s="2" t="s">
        <v>46</v>
      </c>
      <c r="E24" s="2" t="s">
        <v>27</v>
      </c>
      <c r="F24" s="7" t="n">
        <v>0</v>
      </c>
      <c r="G24" s="6" t="n">
        <v>34113.49</v>
      </c>
      <c r="H24" s="7" t="n">
        <v>0</v>
      </c>
      <c r="I24" s="7" t="n">
        <v>0</v>
      </c>
      <c r="J24" s="7" t="n">
        <v>0</v>
      </c>
      <c r="K24" s="7" t="n">
        <v>0</v>
      </c>
      <c r="L24" s="6" t="n">
        <v>34113.49</v>
      </c>
      <c r="M24" s="7" t="n">
        <v>0</v>
      </c>
      <c r="N24" s="6" t="n">
        <v>-2084.71</v>
      </c>
      <c r="O24" s="7" t="n">
        <v>0</v>
      </c>
      <c r="P24" s="7" t="n">
        <v>0</v>
      </c>
      <c r="Q24" s="7" t="n">
        <v>0</v>
      </c>
      <c r="R24" s="7" t="n">
        <v>0</v>
      </c>
      <c r="S24" s="6" t="n">
        <v>-2084.71</v>
      </c>
      <c r="T24" s="7" t="n">
        <v>0</v>
      </c>
      <c r="U24" s="6" t="n">
        <v>32028.78</v>
      </c>
    </row>
    <row r="25" customFormat="false" ht="15" hidden="true" customHeight="false" outlineLevel="2" collapsed="false">
      <c r="A25" s="2" t="s">
        <v>47</v>
      </c>
      <c r="B25" s="2" t="s">
        <v>25</v>
      </c>
      <c r="C25" s="5" t="n">
        <v>45498</v>
      </c>
      <c r="D25" s="2" t="s">
        <v>48</v>
      </c>
      <c r="E25" s="2" t="s">
        <v>27</v>
      </c>
      <c r="F25" s="7" t="n">
        <v>0</v>
      </c>
      <c r="G25" s="6" t="n">
        <v>410504.95</v>
      </c>
      <c r="H25" s="7" t="n">
        <v>0</v>
      </c>
      <c r="I25" s="7" t="n">
        <v>0</v>
      </c>
      <c r="J25" s="7" t="n">
        <v>0</v>
      </c>
      <c r="K25" s="7" t="n">
        <v>0</v>
      </c>
      <c r="L25" s="6" t="n">
        <v>410504.95</v>
      </c>
      <c r="M25" s="7" t="n">
        <v>0</v>
      </c>
      <c r="N25" s="6" t="n">
        <v>-51313.12</v>
      </c>
      <c r="O25" s="7" t="n">
        <v>0</v>
      </c>
      <c r="P25" s="7" t="n">
        <v>0</v>
      </c>
      <c r="Q25" s="7" t="n">
        <v>0</v>
      </c>
      <c r="R25" s="7" t="n">
        <v>0</v>
      </c>
      <c r="S25" s="6" t="n">
        <v>-51313.12</v>
      </c>
      <c r="T25" s="7" t="n">
        <v>0</v>
      </c>
      <c r="U25" s="6" t="n">
        <v>359191.83</v>
      </c>
    </row>
    <row r="26" customFormat="false" ht="15" hidden="true" customHeight="false" outlineLevel="2" collapsed="false">
      <c r="A26" s="2" t="s">
        <v>49</v>
      </c>
      <c r="B26" s="2" t="s">
        <v>25</v>
      </c>
      <c r="C26" s="5" t="n">
        <v>45562</v>
      </c>
      <c r="D26" s="2" t="s">
        <v>50</v>
      </c>
      <c r="E26" s="2" t="s">
        <v>27</v>
      </c>
      <c r="F26" s="7" t="n">
        <v>0</v>
      </c>
      <c r="G26" s="6" t="n">
        <v>132289.71</v>
      </c>
      <c r="H26" s="7" t="n">
        <v>0</v>
      </c>
      <c r="I26" s="7" t="n">
        <v>0</v>
      </c>
      <c r="J26" s="7" t="n">
        <v>0</v>
      </c>
      <c r="K26" s="7" t="n">
        <v>0</v>
      </c>
      <c r="L26" s="6" t="n">
        <v>132289.71</v>
      </c>
      <c r="M26" s="7" t="n">
        <v>0</v>
      </c>
      <c r="N26" s="6" t="n">
        <v>-8480.11</v>
      </c>
      <c r="O26" s="7" t="n">
        <v>0</v>
      </c>
      <c r="P26" s="7" t="n">
        <v>0</v>
      </c>
      <c r="Q26" s="7" t="n">
        <v>0</v>
      </c>
      <c r="R26" s="7" t="n">
        <v>0</v>
      </c>
      <c r="S26" s="6" t="n">
        <v>-8480.11</v>
      </c>
      <c r="T26" s="7" t="n">
        <v>0</v>
      </c>
      <c r="U26" s="6" t="n">
        <v>123809.6</v>
      </c>
    </row>
    <row r="27" customFormat="false" ht="15" hidden="true" customHeight="false" outlineLevel="2" collapsed="false">
      <c r="A27" s="2" t="s">
        <v>51</v>
      </c>
      <c r="B27" s="2" t="s">
        <v>25</v>
      </c>
      <c r="C27" s="5" t="n">
        <v>45646</v>
      </c>
      <c r="D27" s="2" t="s">
        <v>52</v>
      </c>
      <c r="E27" s="2" t="s">
        <v>27</v>
      </c>
      <c r="F27" s="7" t="n">
        <v>0</v>
      </c>
      <c r="G27" s="6" t="n">
        <v>13037</v>
      </c>
      <c r="H27" s="7" t="n">
        <v>0</v>
      </c>
      <c r="I27" s="7" t="n">
        <v>0</v>
      </c>
      <c r="J27" s="7" t="n">
        <v>0</v>
      </c>
      <c r="K27" s="7" t="n">
        <v>0</v>
      </c>
      <c r="L27" s="6" t="n">
        <v>13037</v>
      </c>
      <c r="M27" s="7" t="n">
        <v>0</v>
      </c>
      <c r="N27" s="6" t="n">
        <v>-950.61</v>
      </c>
      <c r="O27" s="7" t="n">
        <v>0</v>
      </c>
      <c r="P27" s="7" t="n">
        <v>0</v>
      </c>
      <c r="Q27" s="7" t="n">
        <v>0</v>
      </c>
      <c r="R27" s="7" t="n">
        <v>0</v>
      </c>
      <c r="S27" s="6" t="n">
        <v>-950.61</v>
      </c>
      <c r="T27" s="7" t="n">
        <v>0</v>
      </c>
      <c r="U27" s="6" t="n">
        <v>12086.39</v>
      </c>
    </row>
    <row r="28" customFormat="false" ht="15" hidden="true" customHeight="false" outlineLevel="2" collapsed="false">
      <c r="A28" s="2" t="s">
        <v>53</v>
      </c>
      <c r="B28" s="2" t="s">
        <v>25</v>
      </c>
      <c r="C28" s="5" t="n">
        <v>45732</v>
      </c>
      <c r="D28" s="2" t="s">
        <v>54</v>
      </c>
      <c r="E28" s="2" t="s">
        <v>27</v>
      </c>
      <c r="F28" s="7" t="n">
        <v>0</v>
      </c>
      <c r="G28" s="7" t="n">
        <v>0</v>
      </c>
      <c r="H28" s="7" t="n">
        <v>0</v>
      </c>
      <c r="I28" s="6" t="n">
        <v>218848.23</v>
      </c>
      <c r="J28" s="7" t="n">
        <v>0</v>
      </c>
      <c r="K28" s="7" t="n">
        <v>0</v>
      </c>
      <c r="L28" s="6" t="n">
        <v>218848.23</v>
      </c>
      <c r="M28" s="7" t="n">
        <v>0</v>
      </c>
      <c r="N28" s="6" t="n">
        <v>-5611.49</v>
      </c>
      <c r="O28" s="7" t="n">
        <v>0</v>
      </c>
      <c r="P28" s="7" t="n">
        <v>0</v>
      </c>
      <c r="Q28" s="7" t="n">
        <v>0</v>
      </c>
      <c r="R28" s="7" t="n">
        <v>0</v>
      </c>
      <c r="S28" s="6" t="n">
        <v>-5611.49</v>
      </c>
      <c r="T28" s="7" t="n">
        <v>0</v>
      </c>
      <c r="U28" s="6" t="n">
        <v>213236.74</v>
      </c>
    </row>
    <row r="29" customFormat="false" ht="15" hidden="true" customHeight="false" outlineLevel="2" collapsed="false">
      <c r="A29" s="2" t="s">
        <v>55</v>
      </c>
      <c r="B29" s="2" t="s">
        <v>25</v>
      </c>
      <c r="C29" s="5" t="n">
        <v>39951</v>
      </c>
      <c r="D29" s="2" t="s">
        <v>56</v>
      </c>
      <c r="E29" s="2" t="s">
        <v>27</v>
      </c>
      <c r="F29" s="6" t="n">
        <v>18817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6" t="n">
        <v>18817</v>
      </c>
      <c r="M29" s="6" t="n">
        <v>-18816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6" t="n">
        <v>-18816</v>
      </c>
      <c r="T29" s="6" t="n">
        <v>1</v>
      </c>
      <c r="U29" s="6" t="n">
        <v>1</v>
      </c>
    </row>
    <row r="30" customFormat="false" ht="15" hidden="true" customHeight="false" outlineLevel="2" collapsed="false">
      <c r="A30" s="2" t="s">
        <v>57</v>
      </c>
      <c r="B30" s="2" t="s">
        <v>25</v>
      </c>
      <c r="C30" s="5" t="n">
        <v>41962</v>
      </c>
      <c r="D30" s="2" t="s">
        <v>58</v>
      </c>
      <c r="E30" s="2" t="s">
        <v>27</v>
      </c>
      <c r="F30" s="6" t="n">
        <v>80478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6" t="n">
        <v>80478</v>
      </c>
      <c r="M30" s="6" t="n">
        <v>-38897.7</v>
      </c>
      <c r="N30" s="6" t="n">
        <v>-4023.9</v>
      </c>
      <c r="O30" s="7" t="n">
        <v>0</v>
      </c>
      <c r="P30" s="7" t="n">
        <v>0</v>
      </c>
      <c r="Q30" s="7" t="n">
        <v>0</v>
      </c>
      <c r="R30" s="7" t="n">
        <v>0</v>
      </c>
      <c r="S30" s="6" t="n">
        <v>-42921.6</v>
      </c>
      <c r="T30" s="6" t="n">
        <v>41580.3</v>
      </c>
      <c r="U30" s="6" t="n">
        <v>37556.4</v>
      </c>
    </row>
    <row r="31" customFormat="false" ht="15" hidden="true" customHeight="false" outlineLevel="2" collapsed="false">
      <c r="A31" s="2" t="s">
        <v>59</v>
      </c>
      <c r="B31" s="2" t="s">
        <v>25</v>
      </c>
      <c r="C31" s="5" t="n">
        <v>44455</v>
      </c>
      <c r="D31" s="2" t="s">
        <v>60</v>
      </c>
      <c r="E31" s="2" t="s">
        <v>27</v>
      </c>
      <c r="F31" s="6" t="n">
        <v>69764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6" t="n">
        <v>69764</v>
      </c>
      <c r="M31" s="6" t="n">
        <v>-9883.23</v>
      </c>
      <c r="N31" s="6" t="n">
        <v>-3488.2</v>
      </c>
      <c r="O31" s="7" t="n">
        <v>0</v>
      </c>
      <c r="P31" s="7" t="n">
        <v>0</v>
      </c>
      <c r="Q31" s="7" t="n">
        <v>0</v>
      </c>
      <c r="R31" s="7" t="n">
        <v>0</v>
      </c>
      <c r="S31" s="6" t="n">
        <v>-13371.43</v>
      </c>
      <c r="T31" s="6" t="n">
        <v>59880.77</v>
      </c>
      <c r="U31" s="6" t="n">
        <v>56392.57</v>
      </c>
    </row>
    <row r="32" customFormat="false" ht="15" hidden="true" customHeight="false" outlineLevel="2" collapsed="false">
      <c r="A32" s="2" t="s">
        <v>61</v>
      </c>
      <c r="B32" s="2" t="s">
        <v>25</v>
      </c>
      <c r="C32" s="5" t="n">
        <v>41172</v>
      </c>
      <c r="D32" s="2" t="s">
        <v>62</v>
      </c>
      <c r="E32" s="2" t="s">
        <v>27</v>
      </c>
      <c r="F32" s="6" t="n">
        <v>1267.03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6" t="n">
        <v>1267.03</v>
      </c>
      <c r="M32" s="6" t="n">
        <v>-1266.03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6" t="n">
        <v>-1266.03</v>
      </c>
      <c r="T32" s="6" t="n">
        <v>1</v>
      </c>
      <c r="U32" s="6" t="n">
        <v>1</v>
      </c>
    </row>
    <row r="33" customFormat="false" ht="15" hidden="true" customHeight="false" outlineLevel="2" collapsed="false">
      <c r="A33" s="2" t="s">
        <v>63</v>
      </c>
      <c r="B33" s="2" t="s">
        <v>25</v>
      </c>
      <c r="C33" s="5" t="n">
        <v>42492</v>
      </c>
      <c r="D33" s="2" t="s">
        <v>64</v>
      </c>
      <c r="E33" s="2" t="s">
        <v>27</v>
      </c>
      <c r="F33" s="6" t="n">
        <v>1473.74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6" t="n">
        <v>1473.74</v>
      </c>
      <c r="M33" s="6" t="n">
        <v>-1472.74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6" t="n">
        <v>-1472.74</v>
      </c>
      <c r="T33" s="6" t="n">
        <v>1</v>
      </c>
      <c r="U33" s="6" t="n">
        <v>1</v>
      </c>
    </row>
    <row r="34" customFormat="false" ht="15" hidden="true" customHeight="false" outlineLevel="2" collapsed="false">
      <c r="A34" s="2" t="s">
        <v>65</v>
      </c>
      <c r="B34" s="2" t="s">
        <v>25</v>
      </c>
      <c r="C34" s="5" t="n">
        <v>43055</v>
      </c>
      <c r="D34" s="2" t="s">
        <v>66</v>
      </c>
      <c r="E34" s="2" t="s">
        <v>27</v>
      </c>
      <c r="F34" s="6" t="n">
        <v>16869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6" t="n">
        <v>16869</v>
      </c>
      <c r="M34" s="6" t="n">
        <v>-14057.5</v>
      </c>
      <c r="N34" s="6" t="n">
        <v>-2108.63</v>
      </c>
      <c r="O34" s="7" t="n">
        <v>0</v>
      </c>
      <c r="P34" s="7" t="n">
        <v>0</v>
      </c>
      <c r="Q34" s="7" t="n">
        <v>0</v>
      </c>
      <c r="R34" s="7" t="n">
        <v>0</v>
      </c>
      <c r="S34" s="6" t="n">
        <v>-16166.13</v>
      </c>
      <c r="T34" s="6" t="n">
        <v>2811.5</v>
      </c>
      <c r="U34" s="6" t="n">
        <v>702.87</v>
      </c>
    </row>
    <row r="35" customFormat="false" ht="15" hidden="true" customHeight="false" outlineLevel="2" collapsed="false">
      <c r="A35" s="2" t="s">
        <v>67</v>
      </c>
      <c r="B35" s="2" t="s">
        <v>25</v>
      </c>
      <c r="C35" s="5" t="n">
        <v>45360</v>
      </c>
      <c r="D35" s="2" t="s">
        <v>66</v>
      </c>
      <c r="E35" s="2" t="s">
        <v>27</v>
      </c>
      <c r="F35" s="6" t="n">
        <v>5708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6" t="n">
        <v>5708</v>
      </c>
      <c r="M35" s="6" t="n">
        <v>-380.53</v>
      </c>
      <c r="N35" s="6" t="n">
        <v>-1141.6</v>
      </c>
      <c r="O35" s="7" t="n">
        <v>0</v>
      </c>
      <c r="P35" s="7" t="n">
        <v>0</v>
      </c>
      <c r="Q35" s="7" t="n">
        <v>0</v>
      </c>
      <c r="R35" s="7" t="n">
        <v>0</v>
      </c>
      <c r="S35" s="6" t="n">
        <v>-1522.13</v>
      </c>
      <c r="T35" s="6" t="n">
        <v>5327.47</v>
      </c>
      <c r="U35" s="6" t="n">
        <v>4185.87</v>
      </c>
    </row>
    <row r="36" customFormat="false" ht="15" hidden="true" customHeight="false" outlineLevel="2" collapsed="false">
      <c r="A36" s="2" t="s">
        <v>68</v>
      </c>
      <c r="B36" s="2" t="s">
        <v>25</v>
      </c>
      <c r="C36" s="5" t="n">
        <v>39912</v>
      </c>
      <c r="D36" s="2" t="s">
        <v>69</v>
      </c>
      <c r="E36" s="2" t="s">
        <v>27</v>
      </c>
      <c r="F36" s="6" t="n">
        <v>2296.41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6" t="n">
        <v>2296.41</v>
      </c>
      <c r="M36" s="6" t="n">
        <v>-2295.41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6" t="n">
        <v>-2295.41</v>
      </c>
      <c r="T36" s="6" t="n">
        <v>1</v>
      </c>
      <c r="U36" s="6" t="n">
        <v>1</v>
      </c>
    </row>
    <row r="37" customFormat="false" ht="15" hidden="true" customHeight="false" outlineLevel="2" collapsed="false">
      <c r="A37" s="2" t="s">
        <v>70</v>
      </c>
      <c r="B37" s="2" t="s">
        <v>25</v>
      </c>
      <c r="C37" s="5" t="n">
        <v>42315</v>
      </c>
      <c r="D37" s="2" t="s">
        <v>71</v>
      </c>
      <c r="E37" s="2" t="s">
        <v>27</v>
      </c>
      <c r="F37" s="6" t="n">
        <v>422.8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6" t="n">
        <v>422.8</v>
      </c>
      <c r="M37" s="6" t="n">
        <v>-281.87</v>
      </c>
      <c r="N37" s="6" t="n">
        <v>-32.52</v>
      </c>
      <c r="O37" s="7" t="n">
        <v>0</v>
      </c>
      <c r="P37" s="7" t="n">
        <v>0</v>
      </c>
      <c r="Q37" s="7" t="n">
        <v>0</v>
      </c>
      <c r="R37" s="7" t="n">
        <v>0</v>
      </c>
      <c r="S37" s="6" t="n">
        <v>-314.39</v>
      </c>
      <c r="T37" s="6" t="n">
        <v>140.93</v>
      </c>
      <c r="U37" s="6" t="n">
        <v>108.41</v>
      </c>
    </row>
    <row r="38" customFormat="false" ht="15" hidden="true" customHeight="false" outlineLevel="2" collapsed="false">
      <c r="A38" s="2" t="s">
        <v>72</v>
      </c>
      <c r="B38" s="2" t="s">
        <v>25</v>
      </c>
      <c r="C38" s="5" t="n">
        <v>39286</v>
      </c>
      <c r="D38" s="2" t="s">
        <v>73</v>
      </c>
      <c r="E38" s="2" t="s">
        <v>27</v>
      </c>
      <c r="F38" s="6" t="n">
        <v>18559.32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6" t="n">
        <v>18559.32</v>
      </c>
      <c r="M38" s="6" t="n">
        <v>-18558.32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6" t="n">
        <v>-18558.32</v>
      </c>
      <c r="T38" s="6" t="n">
        <v>1</v>
      </c>
      <c r="U38" s="6" t="n">
        <v>1</v>
      </c>
    </row>
    <row r="39" customFormat="false" ht="15" hidden="true" customHeight="false" outlineLevel="2" collapsed="false">
      <c r="A39" s="2" t="s">
        <v>74</v>
      </c>
      <c r="B39" s="2" t="s">
        <v>25</v>
      </c>
      <c r="C39" s="5" t="n">
        <v>42400</v>
      </c>
      <c r="D39" s="2" t="s">
        <v>75</v>
      </c>
      <c r="E39" s="2" t="s">
        <v>27</v>
      </c>
      <c r="F39" s="6" t="n">
        <v>25280.86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6" t="n">
        <v>25280.86</v>
      </c>
      <c r="M39" s="6" t="n">
        <v>-25279.86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6" t="n">
        <v>-25279.86</v>
      </c>
      <c r="T39" s="6" t="n">
        <v>1</v>
      </c>
      <c r="U39" s="6" t="n">
        <v>1</v>
      </c>
    </row>
    <row r="40" customFormat="false" ht="15" hidden="true" customHeight="false" outlineLevel="2" collapsed="false">
      <c r="A40" s="2" t="s">
        <v>76</v>
      </c>
      <c r="B40" s="2" t="s">
        <v>25</v>
      </c>
      <c r="C40" s="5" t="n">
        <v>45701</v>
      </c>
      <c r="D40" s="2" t="s">
        <v>77</v>
      </c>
      <c r="E40" s="2" t="s">
        <v>27</v>
      </c>
      <c r="F40" s="7" t="n">
        <v>0</v>
      </c>
      <c r="G40" s="6" t="n">
        <v>20040.24</v>
      </c>
      <c r="H40" s="7" t="n">
        <v>0</v>
      </c>
      <c r="I40" s="7" t="n">
        <v>0</v>
      </c>
      <c r="J40" s="7" t="n">
        <v>0</v>
      </c>
      <c r="K40" s="7" t="n">
        <v>0</v>
      </c>
      <c r="L40" s="6" t="n">
        <v>20040.24</v>
      </c>
      <c r="M40" s="7" t="n">
        <v>0</v>
      </c>
      <c r="N40" s="6" t="n">
        <v>-1391.68</v>
      </c>
      <c r="O40" s="7" t="n">
        <v>0</v>
      </c>
      <c r="P40" s="7" t="n">
        <v>0</v>
      </c>
      <c r="Q40" s="7" t="n">
        <v>0</v>
      </c>
      <c r="R40" s="7" t="n">
        <v>0</v>
      </c>
      <c r="S40" s="6" t="n">
        <v>-1391.68</v>
      </c>
      <c r="T40" s="7" t="n">
        <v>0</v>
      </c>
      <c r="U40" s="6" t="n">
        <v>18648.56</v>
      </c>
    </row>
    <row r="41" customFormat="false" ht="15" hidden="true" customHeight="false" outlineLevel="2" collapsed="false">
      <c r="A41" s="2" t="s">
        <v>78</v>
      </c>
      <c r="B41" s="2" t="s">
        <v>25</v>
      </c>
      <c r="C41" s="5" t="n">
        <v>40379</v>
      </c>
      <c r="D41" s="2" t="s">
        <v>79</v>
      </c>
      <c r="E41" s="2" t="s">
        <v>27</v>
      </c>
      <c r="F41" s="6" t="n">
        <v>44397.3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6" t="n">
        <v>44397.3</v>
      </c>
      <c r="M41" s="6" t="n">
        <v>-44396.3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6" t="n">
        <v>-44396.3</v>
      </c>
      <c r="T41" s="6" t="n">
        <v>1</v>
      </c>
      <c r="U41" s="6" t="n">
        <v>1</v>
      </c>
    </row>
    <row r="42" customFormat="false" ht="15" hidden="true" customHeight="false" outlineLevel="2" collapsed="false">
      <c r="A42" s="2" t="s">
        <v>80</v>
      </c>
      <c r="B42" s="2" t="s">
        <v>25</v>
      </c>
      <c r="C42" s="5" t="n">
        <v>40853</v>
      </c>
      <c r="D42" s="2" t="s">
        <v>81</v>
      </c>
      <c r="E42" s="2" t="s">
        <v>27</v>
      </c>
      <c r="F42" s="6" t="n">
        <v>162429.47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6" t="n">
        <v>162429.47</v>
      </c>
      <c r="M42" s="6" t="n">
        <v>-162428.47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6" t="n">
        <v>-162428.47</v>
      </c>
      <c r="T42" s="6" t="n">
        <v>1</v>
      </c>
      <c r="U42" s="6" t="n">
        <v>1</v>
      </c>
    </row>
    <row r="43" customFormat="false" ht="15" hidden="true" customHeight="false" outlineLevel="2" collapsed="false">
      <c r="A43" s="2" t="s">
        <v>82</v>
      </c>
      <c r="B43" s="2" t="s">
        <v>25</v>
      </c>
      <c r="C43" s="5" t="n">
        <v>45562</v>
      </c>
      <c r="D43" s="2" t="s">
        <v>83</v>
      </c>
      <c r="E43" s="2" t="s">
        <v>27</v>
      </c>
      <c r="F43" s="7" t="n">
        <v>0</v>
      </c>
      <c r="G43" s="6" t="n">
        <v>150801</v>
      </c>
      <c r="H43" s="7" t="n">
        <v>0</v>
      </c>
      <c r="I43" s="7" t="n">
        <v>0</v>
      </c>
      <c r="J43" s="7" t="n">
        <v>0</v>
      </c>
      <c r="K43" s="7" t="n">
        <v>0</v>
      </c>
      <c r="L43" s="6" t="n">
        <v>150801</v>
      </c>
      <c r="M43" s="7" t="n">
        <v>0</v>
      </c>
      <c r="N43" s="6" t="n">
        <v>-13963.06</v>
      </c>
      <c r="O43" s="7" t="n">
        <v>0</v>
      </c>
      <c r="P43" s="7" t="n">
        <v>0</v>
      </c>
      <c r="Q43" s="7" t="n">
        <v>0</v>
      </c>
      <c r="R43" s="7" t="n">
        <v>0</v>
      </c>
      <c r="S43" s="6" t="n">
        <v>-13963.06</v>
      </c>
      <c r="T43" s="7" t="n">
        <v>0</v>
      </c>
      <c r="U43" s="6" t="n">
        <v>136837.94</v>
      </c>
    </row>
    <row r="44" customFormat="false" ht="15" hidden="true" customHeight="false" outlineLevel="2" collapsed="false">
      <c r="A44" s="2" t="s">
        <v>84</v>
      </c>
      <c r="B44" s="2" t="s">
        <v>25</v>
      </c>
      <c r="C44" s="5" t="n">
        <v>45619</v>
      </c>
      <c r="D44" s="2" t="s">
        <v>85</v>
      </c>
      <c r="E44" s="2" t="s">
        <v>27</v>
      </c>
      <c r="F44" s="7" t="n">
        <v>0</v>
      </c>
      <c r="G44" s="6" t="n">
        <v>46129.33</v>
      </c>
      <c r="H44" s="7" t="n">
        <v>0</v>
      </c>
      <c r="I44" s="7" t="n">
        <v>0</v>
      </c>
      <c r="J44" s="7" t="n">
        <v>0</v>
      </c>
      <c r="K44" s="7" t="n">
        <v>0</v>
      </c>
      <c r="L44" s="6" t="n">
        <v>46129.33</v>
      </c>
      <c r="M44" s="7" t="n">
        <v>0</v>
      </c>
      <c r="N44" s="6" t="n">
        <v>-3416.99</v>
      </c>
      <c r="O44" s="7" t="n">
        <v>0</v>
      </c>
      <c r="P44" s="7" t="n">
        <v>0</v>
      </c>
      <c r="Q44" s="7" t="n">
        <v>0</v>
      </c>
      <c r="R44" s="7" t="n">
        <v>0</v>
      </c>
      <c r="S44" s="6" t="n">
        <v>-3416.99</v>
      </c>
      <c r="T44" s="7" t="n">
        <v>0</v>
      </c>
      <c r="U44" s="6" t="n">
        <v>42712.34</v>
      </c>
    </row>
    <row r="45" customFormat="false" ht="15" hidden="true" customHeight="false" outlineLevel="2" collapsed="false">
      <c r="A45" s="2" t="s">
        <v>86</v>
      </c>
      <c r="B45" s="2" t="s">
        <v>25</v>
      </c>
      <c r="C45" s="5" t="n">
        <v>43858</v>
      </c>
      <c r="D45" s="2" t="s">
        <v>87</v>
      </c>
      <c r="E45" s="2" t="s">
        <v>27</v>
      </c>
      <c r="F45" s="6" t="n">
        <v>1560.93</v>
      </c>
      <c r="G45" s="7" t="n">
        <v>0</v>
      </c>
      <c r="H45" s="6" t="n">
        <v>-1560.93</v>
      </c>
      <c r="I45" s="7" t="n">
        <v>0</v>
      </c>
      <c r="J45" s="7" t="n">
        <v>0</v>
      </c>
      <c r="K45" s="7" t="n">
        <v>0</v>
      </c>
      <c r="L45" s="7" t="n">
        <v>0</v>
      </c>
      <c r="M45" s="6" t="n">
        <v>-1404.84</v>
      </c>
      <c r="N45" s="6" t="n">
        <v>-155.09</v>
      </c>
      <c r="O45" s="6" t="n">
        <v>1559.93</v>
      </c>
      <c r="P45" s="7" t="n">
        <v>0</v>
      </c>
      <c r="Q45" s="7" t="n">
        <v>0</v>
      </c>
      <c r="R45" s="7" t="n">
        <v>0</v>
      </c>
      <c r="S45" s="7" t="n">
        <v>0</v>
      </c>
      <c r="T45" s="6" t="n">
        <v>156.09</v>
      </c>
      <c r="U45" s="7" t="n">
        <v>0</v>
      </c>
    </row>
    <row r="46" customFormat="false" ht="15" hidden="true" customHeight="false" outlineLevel="2" collapsed="false">
      <c r="A46" s="2" t="s">
        <v>88</v>
      </c>
      <c r="B46" s="2" t="s">
        <v>25</v>
      </c>
      <c r="C46" s="5" t="n">
        <v>43956</v>
      </c>
      <c r="D46" s="2" t="s">
        <v>89</v>
      </c>
      <c r="E46" s="2" t="s">
        <v>27</v>
      </c>
      <c r="F46" s="6" t="n">
        <v>2380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6" t="n">
        <v>2380</v>
      </c>
      <c r="M46" s="6" t="n">
        <v>-2379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6" t="n">
        <v>-2379</v>
      </c>
      <c r="T46" s="6" t="n">
        <v>1</v>
      </c>
      <c r="U46" s="6" t="n">
        <v>1</v>
      </c>
    </row>
    <row r="47" customFormat="false" ht="15" hidden="true" customHeight="false" outlineLevel="2" collapsed="false">
      <c r="A47" s="2" t="s">
        <v>90</v>
      </c>
      <c r="B47" s="2" t="s">
        <v>25</v>
      </c>
      <c r="C47" s="5" t="n">
        <v>44276</v>
      </c>
      <c r="D47" s="2" t="s">
        <v>91</v>
      </c>
      <c r="E47" s="2" t="s">
        <v>27</v>
      </c>
      <c r="F47" s="6" t="n">
        <v>1053.67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6" t="n">
        <v>1053.67</v>
      </c>
      <c r="M47" s="6" t="n">
        <v>-1052.67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6" t="n">
        <v>-1052.67</v>
      </c>
      <c r="T47" s="6" t="n">
        <v>1</v>
      </c>
      <c r="U47" s="6" t="n">
        <v>1</v>
      </c>
    </row>
    <row r="48" customFormat="false" ht="15" hidden="true" customHeight="false" outlineLevel="2" collapsed="false">
      <c r="A48" s="2" t="s">
        <v>92</v>
      </c>
      <c r="B48" s="2" t="s">
        <v>25</v>
      </c>
      <c r="C48" s="5" t="n">
        <v>45549</v>
      </c>
      <c r="D48" s="2" t="s">
        <v>93</v>
      </c>
      <c r="E48" s="2" t="s">
        <v>27</v>
      </c>
      <c r="F48" s="7" t="n">
        <v>0</v>
      </c>
      <c r="G48" s="6" t="n">
        <v>1551.19</v>
      </c>
      <c r="H48" s="7" t="n">
        <v>0</v>
      </c>
      <c r="I48" s="7" t="n">
        <v>0</v>
      </c>
      <c r="J48" s="7" t="n">
        <v>0</v>
      </c>
      <c r="K48" s="7" t="n">
        <v>0</v>
      </c>
      <c r="L48" s="6" t="n">
        <v>1551.19</v>
      </c>
      <c r="M48" s="7" t="n">
        <v>0</v>
      </c>
      <c r="N48" s="6" t="n">
        <v>-430.89</v>
      </c>
      <c r="O48" s="7" t="n">
        <v>0</v>
      </c>
      <c r="P48" s="7" t="n">
        <v>0</v>
      </c>
      <c r="Q48" s="7" t="n">
        <v>0</v>
      </c>
      <c r="R48" s="7" t="n">
        <v>0</v>
      </c>
      <c r="S48" s="6" t="n">
        <v>-430.89</v>
      </c>
      <c r="T48" s="7" t="n">
        <v>0</v>
      </c>
      <c r="U48" s="6" t="n">
        <v>1120.3</v>
      </c>
    </row>
    <row r="49" customFormat="false" ht="15" hidden="true" customHeight="false" outlineLevel="2" collapsed="false">
      <c r="A49" s="2" t="s">
        <v>94</v>
      </c>
      <c r="B49" s="2" t="s">
        <v>25</v>
      </c>
      <c r="C49" s="5" t="n">
        <v>45789</v>
      </c>
      <c r="D49" s="2" t="s">
        <v>95</v>
      </c>
      <c r="E49" s="2" t="s">
        <v>27</v>
      </c>
      <c r="F49" s="7" t="n">
        <v>0</v>
      </c>
      <c r="G49" s="6" t="n">
        <v>8707.81</v>
      </c>
      <c r="H49" s="7" t="n">
        <v>0</v>
      </c>
      <c r="I49" s="7" t="n">
        <v>0</v>
      </c>
      <c r="J49" s="7" t="n">
        <v>0</v>
      </c>
      <c r="K49" s="7" t="n">
        <v>0</v>
      </c>
      <c r="L49" s="6" t="n">
        <v>8707.81</v>
      </c>
      <c r="M49" s="7" t="n">
        <v>0</v>
      </c>
      <c r="N49" s="6" t="n">
        <v>-483.77</v>
      </c>
      <c r="O49" s="7" t="n">
        <v>0</v>
      </c>
      <c r="P49" s="7" t="n">
        <v>0</v>
      </c>
      <c r="Q49" s="7" t="n">
        <v>0</v>
      </c>
      <c r="R49" s="7" t="n">
        <v>0</v>
      </c>
      <c r="S49" s="6" t="n">
        <v>-483.77</v>
      </c>
      <c r="T49" s="7" t="n">
        <v>0</v>
      </c>
      <c r="U49" s="6" t="n">
        <v>8224.04</v>
      </c>
    </row>
    <row r="50" customFormat="false" ht="15" hidden="true" customHeight="false" outlineLevel="2" collapsed="false">
      <c r="A50" s="2" t="s">
        <v>96</v>
      </c>
      <c r="B50" s="2" t="s">
        <v>25</v>
      </c>
      <c r="C50" s="5" t="n">
        <v>45792</v>
      </c>
      <c r="D50" s="2" t="s">
        <v>97</v>
      </c>
      <c r="E50" s="2" t="s">
        <v>27</v>
      </c>
      <c r="F50" s="7" t="n">
        <v>0</v>
      </c>
      <c r="G50" s="6" t="n">
        <v>423</v>
      </c>
      <c r="H50" s="7" t="n">
        <v>0</v>
      </c>
      <c r="I50" s="7" t="n">
        <v>0</v>
      </c>
      <c r="J50" s="7" t="n">
        <v>0</v>
      </c>
      <c r="K50" s="7" t="n">
        <v>0</v>
      </c>
      <c r="L50" s="6" t="n">
        <v>423</v>
      </c>
      <c r="M50" s="7" t="n">
        <v>0</v>
      </c>
      <c r="N50" s="6" t="n">
        <v>-423</v>
      </c>
      <c r="O50" s="7" t="n">
        <v>0</v>
      </c>
      <c r="P50" s="7" t="n">
        <v>0</v>
      </c>
      <c r="Q50" s="7" t="n">
        <v>0</v>
      </c>
      <c r="R50" s="7" t="n">
        <v>0</v>
      </c>
      <c r="S50" s="6" t="n">
        <v>-423</v>
      </c>
      <c r="T50" s="7" t="n">
        <v>0</v>
      </c>
      <c r="U50" s="7" t="n">
        <v>0</v>
      </c>
    </row>
    <row r="51" customFormat="false" ht="15" hidden="true" customHeight="false" outlineLevel="2" collapsed="false">
      <c r="A51" s="2" t="s">
        <v>98</v>
      </c>
      <c r="B51" s="2" t="s">
        <v>25</v>
      </c>
      <c r="C51" s="5" t="n">
        <v>45438</v>
      </c>
      <c r="D51" s="2" t="s">
        <v>99</v>
      </c>
      <c r="E51" s="2" t="s">
        <v>27</v>
      </c>
      <c r="F51" s="6" t="n">
        <v>162150</v>
      </c>
      <c r="G51" s="6" t="n">
        <v>56698.23</v>
      </c>
      <c r="H51" s="7" t="n">
        <v>0</v>
      </c>
      <c r="I51" s="6" t="n">
        <v>-218848.23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6" t="n">
        <v>162150</v>
      </c>
      <c r="U51" s="7" t="n">
        <v>0</v>
      </c>
    </row>
    <row r="52" customFormat="false" ht="15" hidden="true" customHeight="false" outlineLevel="2" collapsed="false">
      <c r="A52" s="2" t="s">
        <v>100</v>
      </c>
      <c r="B52" s="2" t="s">
        <v>25</v>
      </c>
      <c r="C52" s="5" t="n">
        <v>37805</v>
      </c>
      <c r="D52" s="2" t="s">
        <v>101</v>
      </c>
      <c r="E52" s="2" t="s">
        <v>27</v>
      </c>
      <c r="F52" s="6" t="n">
        <v>2282.14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6" t="n">
        <v>2282.14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6" t="n">
        <v>2282.14</v>
      </c>
      <c r="U52" s="6" t="n">
        <v>2282.14</v>
      </c>
    </row>
    <row r="53" customFormat="false" ht="15" hidden="true" customHeight="false" outlineLevel="2" collapsed="false">
      <c r="A53" s="2" t="s">
        <v>102</v>
      </c>
      <c r="B53" s="2" t="s">
        <v>25</v>
      </c>
      <c r="C53" s="5" t="n">
        <v>39731</v>
      </c>
      <c r="D53" s="2" t="s">
        <v>103</v>
      </c>
      <c r="E53" s="2" t="s">
        <v>27</v>
      </c>
      <c r="F53" s="6" t="n">
        <v>17862.72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6" t="n">
        <v>17862.72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  <c r="S53" s="7" t="n">
        <v>0</v>
      </c>
      <c r="T53" s="6" t="n">
        <v>17862.72</v>
      </c>
      <c r="U53" s="6" t="n">
        <v>17862.72</v>
      </c>
    </row>
    <row r="54" customFormat="false" ht="15" hidden="true" customHeight="false" outlineLevel="2" collapsed="false">
      <c r="A54" s="2" t="s">
        <v>104</v>
      </c>
      <c r="B54" s="2" t="s">
        <v>25</v>
      </c>
      <c r="C54" s="5" t="n">
        <v>39806</v>
      </c>
      <c r="D54" s="2" t="s">
        <v>103</v>
      </c>
      <c r="E54" s="2" t="s">
        <v>27</v>
      </c>
      <c r="F54" s="6" t="n">
        <v>24130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6" t="n">
        <v>24130</v>
      </c>
      <c r="M54" s="6" t="n">
        <v>-7239</v>
      </c>
      <c r="N54" s="7" t="n">
        <v>0</v>
      </c>
      <c r="O54" s="7" t="n">
        <v>0</v>
      </c>
      <c r="P54" s="7" t="n">
        <v>0</v>
      </c>
      <c r="Q54" s="7" t="n">
        <v>0</v>
      </c>
      <c r="R54" s="6" t="n">
        <v>3619.5</v>
      </c>
      <c r="S54" s="6" t="n">
        <v>-3619.5</v>
      </c>
      <c r="T54" s="6" t="n">
        <v>16891</v>
      </c>
      <c r="U54" s="6" t="n">
        <v>20510.5</v>
      </c>
    </row>
    <row r="55" customFormat="false" ht="15" hidden="false" customHeight="false" outlineLevel="0" collapsed="false">
      <c r="A55" s="8" t="s">
        <v>105</v>
      </c>
      <c r="B55" s="8"/>
      <c r="C55" s="8"/>
      <c r="D55" s="8"/>
      <c r="E55" s="8"/>
      <c r="F55" s="9" t="n">
        <v>1546304.91</v>
      </c>
      <c r="G55" s="9" t="n">
        <v>1087717.62</v>
      </c>
      <c r="H55" s="9" t="n">
        <v>-1560.93</v>
      </c>
      <c r="I55" s="10" t="n">
        <v>0</v>
      </c>
      <c r="J55" s="10" t="n">
        <v>0</v>
      </c>
      <c r="K55" s="10" t="n">
        <v>0</v>
      </c>
      <c r="L55" s="9" t="n">
        <v>2632461.6</v>
      </c>
      <c r="M55" s="9" t="n">
        <v>-898499.19</v>
      </c>
      <c r="N55" s="9" t="n">
        <v>-147288.09</v>
      </c>
      <c r="O55" s="9" t="n">
        <v>1559.93</v>
      </c>
      <c r="P55" s="10" t="n">
        <v>0</v>
      </c>
      <c r="Q55" s="10" t="n">
        <v>0</v>
      </c>
      <c r="R55" s="9" t="n">
        <v>3619.5</v>
      </c>
      <c r="S55" s="9" t="n">
        <v>-1040607.85</v>
      </c>
      <c r="T55" s="9" t="n">
        <v>647805.72</v>
      </c>
      <c r="U55" s="9" t="n">
        <v>1591853.75</v>
      </c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2" t="n">
        <v>1546304.91</v>
      </c>
      <c r="G56" s="12" t="n">
        <v>1087717.62</v>
      </c>
      <c r="H56" s="12" t="n">
        <v>-1560.93</v>
      </c>
      <c r="I56" s="13" t="n">
        <v>0</v>
      </c>
      <c r="J56" s="13" t="n">
        <v>0</v>
      </c>
      <c r="K56" s="13" t="n">
        <v>0</v>
      </c>
      <c r="L56" s="12" t="n">
        <v>2632461.6</v>
      </c>
      <c r="M56" s="12" t="n">
        <v>-898499.19</v>
      </c>
      <c r="N56" s="12" t="n">
        <v>-147288.09</v>
      </c>
      <c r="O56" s="12" t="n">
        <v>1559.93</v>
      </c>
      <c r="P56" s="13" t="n">
        <v>0</v>
      </c>
      <c r="Q56" s="13" t="n">
        <v>0</v>
      </c>
      <c r="R56" s="12" t="n">
        <v>3619.5</v>
      </c>
      <c r="S56" s="12" t="n">
        <v>-1040607.85</v>
      </c>
      <c r="T56" s="12" t="n">
        <v>647805.72</v>
      </c>
      <c r="U56" s="12" t="n">
        <v>1591853.75</v>
      </c>
    </row>
    <row r="58" customFormat="false" ht="15" hidden="false" customHeight="false" outlineLevel="0" collapsed="false">
      <c r="F58" s="14" t="n">
        <f aca="false">+F56-F9</f>
        <v>0</v>
      </c>
      <c r="G58" s="14" t="n">
        <f aca="false">+G56-G9</f>
        <v>0</v>
      </c>
      <c r="H58" s="14" t="n">
        <f aca="false">+H56-H9</f>
        <v>0</v>
      </c>
      <c r="I58" s="14" t="n">
        <f aca="false">+I56-I9</f>
        <v>0</v>
      </c>
      <c r="J58" s="14" t="n">
        <f aca="false">+J56-J9</f>
        <v>0</v>
      </c>
      <c r="K58" s="14" t="n">
        <f aca="false">+K56-K9</f>
        <v>0</v>
      </c>
      <c r="L58" s="14" t="n">
        <f aca="false">+L56-L9</f>
        <v>0</v>
      </c>
      <c r="M58" s="14" t="n">
        <f aca="false">+M56-M9</f>
        <v>0</v>
      </c>
      <c r="N58" s="14" t="n">
        <f aca="false">+N56-N9</f>
        <v>0</v>
      </c>
      <c r="O58" s="14" t="n">
        <f aca="false">+O56-O9</f>
        <v>0</v>
      </c>
      <c r="P58" s="14" t="n">
        <f aca="false">+P56-P9</f>
        <v>0</v>
      </c>
      <c r="Q58" s="14" t="n">
        <f aca="false">+Q56-Q9</f>
        <v>0</v>
      </c>
      <c r="R58" s="14" t="n">
        <f aca="false">+R56-R9</f>
        <v>0</v>
      </c>
      <c r="S58" s="14" t="n">
        <f aca="false">+S56-S9</f>
        <v>0</v>
      </c>
      <c r="T58" s="14" t="n">
        <f aca="false">+T56-T9</f>
        <v>0</v>
      </c>
      <c r="U58" s="14" t="n">
        <f aca="false">+U56-U9</f>
        <v>0</v>
      </c>
    </row>
    <row r="60" customFormat="false" ht="15" hidden="false" customHeight="false" outlineLevel="0" collapsed="false">
      <c r="A60" s="1" t="s">
        <v>106</v>
      </c>
      <c r="D60" s="2" t="s">
        <v>107</v>
      </c>
      <c r="U60" s="14" t="n">
        <f aca="false">+U56</f>
        <v>1591853.75</v>
      </c>
    </row>
    <row r="61" customFormat="false" ht="15" hidden="false" customHeight="false" outlineLevel="0" collapsed="false">
      <c r="D61" s="2" t="s">
        <v>108</v>
      </c>
      <c r="U61" s="14" t="n">
        <f aca="false">184724.16</f>
        <v>184724.16</v>
      </c>
    </row>
    <row r="62" customFormat="false" ht="15" hidden="false" customHeight="false" outlineLevel="0" collapsed="false">
      <c r="D62" s="2" t="s">
        <v>109</v>
      </c>
      <c r="U62" s="14" t="n">
        <f aca="false">151912.55+1002012.35+212549.33</f>
        <v>1366474.23</v>
      </c>
    </row>
    <row r="63" customFormat="false" ht="15" hidden="false" customHeight="false" outlineLevel="0" collapsed="false">
      <c r="D63" s="2" t="s">
        <v>110</v>
      </c>
      <c r="U63" s="14" t="n">
        <f aca="false">40655.36</f>
        <v>40655.36</v>
      </c>
    </row>
    <row r="64" customFormat="false" ht="15" hidden="false" customHeight="false" outlineLevel="0" collapsed="false">
      <c r="D64" s="2" t="s">
        <v>111</v>
      </c>
      <c r="U64" s="14" t="n">
        <f aca="false">U60-SUM(U61:U63)</f>
        <v>0</v>
      </c>
    </row>
    <row r="68" customFormat="false" ht="15" hidden="false" customHeight="false" outlineLevel="0" collapsed="false">
      <c r="A68" s="1" t="s">
        <v>112</v>
      </c>
    </row>
    <row r="69" customFormat="false" ht="15" hidden="false" customHeight="false" outlineLevel="0" collapsed="false">
      <c r="A69" s="15" t="s">
        <v>113</v>
      </c>
      <c r="D69" s="15" t="s">
        <v>114</v>
      </c>
      <c r="F69" s="15" t="s">
        <v>115</v>
      </c>
      <c r="G69" s="15" t="s">
        <v>116</v>
      </c>
      <c r="H69" s="15" t="s">
        <v>117</v>
      </c>
    </row>
    <row r="70" customFormat="false" ht="15" hidden="false" customHeight="false" outlineLevel="0" collapsed="false">
      <c r="A70" s="0" t="s">
        <v>118</v>
      </c>
      <c r="D70" s="0" t="s">
        <v>119</v>
      </c>
      <c r="F70" s="14" t="n">
        <v>184724.16</v>
      </c>
      <c r="G70" s="14" t="n">
        <v>-28700.51</v>
      </c>
      <c r="H70" s="14" t="n">
        <v>156023.65</v>
      </c>
    </row>
    <row r="71" customFormat="false" ht="15" hidden="false" customHeight="false" outlineLevel="0" collapsed="false">
      <c r="A71" s="0" t="s">
        <v>120</v>
      </c>
      <c r="D71" s="0" t="s">
        <v>121</v>
      </c>
      <c r="F71" s="14" t="n">
        <v>151911.55</v>
      </c>
      <c r="G71" s="16" t="n">
        <v>0</v>
      </c>
      <c r="H71" s="14" t="n">
        <v>151911.55</v>
      </c>
    </row>
    <row r="72" customFormat="false" ht="15" hidden="false" customHeight="false" outlineLevel="0" collapsed="false">
      <c r="A72" s="0" t="s">
        <v>122</v>
      </c>
      <c r="D72" s="0" t="s">
        <v>123</v>
      </c>
      <c r="F72" s="14" t="n">
        <v>1</v>
      </c>
      <c r="G72" s="16" t="n">
        <v>0</v>
      </c>
      <c r="H72" s="14" t="n">
        <v>1</v>
      </c>
    </row>
    <row r="73" customFormat="false" ht="15" hidden="false" customHeight="false" outlineLevel="0" collapsed="false">
      <c r="A73" s="0" t="s">
        <v>124</v>
      </c>
      <c r="D73" s="0" t="s">
        <v>125</v>
      </c>
      <c r="F73" s="14" t="n">
        <v>908062.38</v>
      </c>
      <c r="G73" s="14" t="n">
        <v>-87249.99</v>
      </c>
      <c r="H73" s="14" t="n">
        <v>820812.39</v>
      </c>
    </row>
    <row r="74" customFormat="false" ht="15" hidden="false" customHeight="false" outlineLevel="0" collapsed="false">
      <c r="A74" s="0" t="s">
        <v>126</v>
      </c>
      <c r="D74" s="0" t="s">
        <v>127</v>
      </c>
      <c r="F74" s="14" t="n">
        <v>93949.97</v>
      </c>
      <c r="G74" s="14" t="n">
        <v>-7512.1</v>
      </c>
      <c r="H74" s="14" t="n">
        <v>86437.87</v>
      </c>
    </row>
    <row r="75" customFormat="false" ht="15" hidden="false" customHeight="false" outlineLevel="0" collapsed="false">
      <c r="A75" s="0" t="s">
        <v>128</v>
      </c>
      <c r="D75" s="0" t="s">
        <v>129</v>
      </c>
      <c r="F75" s="14" t="n">
        <v>4890.74</v>
      </c>
      <c r="G75" s="14" t="n">
        <v>-1844.47</v>
      </c>
      <c r="H75" s="14" t="n">
        <v>3046.27</v>
      </c>
    </row>
    <row r="76" customFormat="false" ht="15" hidden="false" customHeight="false" outlineLevel="0" collapsed="false">
      <c r="A76" s="0" t="s">
        <v>130</v>
      </c>
      <c r="D76" s="0" t="s">
        <v>131</v>
      </c>
      <c r="F76" s="14" t="n">
        <v>109.41</v>
      </c>
      <c r="G76" s="14" t="n">
        <v>-32.52</v>
      </c>
      <c r="H76" s="14" t="n">
        <v>76.89</v>
      </c>
    </row>
    <row r="77" customFormat="false" ht="15" hidden="false" customHeight="false" outlineLevel="0" collapsed="false">
      <c r="A77" s="0" t="s">
        <v>132</v>
      </c>
      <c r="D77" s="0" t="s">
        <v>133</v>
      </c>
      <c r="F77" s="14" t="n">
        <v>18650.56</v>
      </c>
      <c r="G77" s="14" t="n">
        <v>-1391.68</v>
      </c>
      <c r="H77" s="14" t="n">
        <v>17258.88</v>
      </c>
    </row>
    <row r="78" customFormat="false" ht="15" hidden="false" customHeight="false" outlineLevel="0" collapsed="false">
      <c r="A78" s="0" t="s">
        <v>134</v>
      </c>
      <c r="D78" s="0" t="s">
        <v>135</v>
      </c>
      <c r="F78" s="14" t="n">
        <v>179552.28</v>
      </c>
      <c r="G78" s="14" t="n">
        <v>-17380.05</v>
      </c>
      <c r="H78" s="14" t="n">
        <v>162172.23</v>
      </c>
    </row>
    <row r="79" customFormat="false" ht="15" hidden="false" customHeight="false" outlineLevel="0" collapsed="false">
      <c r="A79" s="0" t="s">
        <v>136</v>
      </c>
      <c r="D79" s="0" t="s">
        <v>137</v>
      </c>
      <c r="F79" s="14" t="n">
        <v>9346.34</v>
      </c>
      <c r="G79" s="14" t="n">
        <v>-914.66</v>
      </c>
      <c r="H79" s="14" t="n">
        <v>8431.68</v>
      </c>
    </row>
    <row r="80" customFormat="false" ht="15" hidden="false" customHeight="false" outlineLevel="0" collapsed="false">
      <c r="A80" s="0" t="s">
        <v>138</v>
      </c>
      <c r="D80" s="0" t="s">
        <v>139</v>
      </c>
      <c r="F80" s="16" t="n">
        <v>0</v>
      </c>
      <c r="G80" s="16" t="n">
        <v>0</v>
      </c>
      <c r="H80" s="16" t="n">
        <v>0</v>
      </c>
    </row>
    <row r="81" customFormat="false" ht="15" hidden="false" customHeight="false" outlineLevel="0" collapsed="false">
      <c r="A81" s="0" t="s">
        <v>140</v>
      </c>
      <c r="D81" s="0" t="s">
        <v>141</v>
      </c>
      <c r="F81" s="16" t="n">
        <v>0</v>
      </c>
      <c r="G81" s="16" t="n">
        <v>0</v>
      </c>
      <c r="H81" s="16" t="n">
        <v>0</v>
      </c>
    </row>
    <row r="82" customFormat="false" ht="15" hidden="false" customHeight="false" outlineLevel="0" collapsed="false">
      <c r="A82" s="0" t="s">
        <v>142</v>
      </c>
      <c r="D82" s="0" t="s">
        <v>143</v>
      </c>
      <c r="F82" s="14" t="n">
        <v>40655.36</v>
      </c>
      <c r="G82" s="16" t="n">
        <v>0</v>
      </c>
      <c r="H82" s="14" t="n">
        <v>40655.36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1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1"/>
    <col collapsed="false" customWidth="true" hidden="false" outlineLevel="0" max="4" min="4" style="0" width="8"/>
    <col collapsed="false" customWidth="true" hidden="false" outlineLevel="0" max="22" min="5" style="0" width="15"/>
  </cols>
  <sheetData>
    <row r="1" customFormat="false" ht="30" hidden="false" customHeight="true" outlineLevel="0" collapsed="false">
      <c r="A1" s="4" t="s">
        <v>144</v>
      </c>
      <c r="B1" s="4" t="s">
        <v>113</v>
      </c>
      <c r="C1" s="4" t="s">
        <v>114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17" t="s">
        <v>145</v>
      </c>
      <c r="L1" s="4" t="s">
        <v>14</v>
      </c>
      <c r="M1" s="17" t="s">
        <v>146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</row>
    <row r="2" customFormat="false" ht="15" hidden="false" customHeight="false" outlineLevel="1" collapsed="false">
      <c r="A2" s="2" t="s">
        <v>147</v>
      </c>
      <c r="B2" s="2" t="s">
        <v>118</v>
      </c>
      <c r="C2" s="2" t="s">
        <v>119</v>
      </c>
      <c r="D2" s="2" t="s">
        <v>27</v>
      </c>
      <c r="E2" s="6" t="n">
        <v>83685.9</v>
      </c>
      <c r="F2" s="6" t="n">
        <v>213421.67</v>
      </c>
      <c r="G2" s="7" t="n">
        <v>0</v>
      </c>
      <c r="H2" s="7" t="n">
        <v>0</v>
      </c>
      <c r="I2" s="7" t="n">
        <v>0</v>
      </c>
      <c r="J2" s="7" t="n">
        <v>0</v>
      </c>
      <c r="K2" s="18" t="n">
        <f aca="false">SUM(E2:H2)</f>
        <v>297107.57</v>
      </c>
      <c r="L2" s="6" t="n">
        <v>297107.57</v>
      </c>
      <c r="M2" s="18" t="n">
        <f aca="false">L2-K2</f>
        <v>0</v>
      </c>
      <c r="N2" s="6" t="n">
        <v>-83682.9</v>
      </c>
      <c r="O2" s="6" t="n">
        <v>-28700.51</v>
      </c>
      <c r="P2" s="7" t="n">
        <v>0</v>
      </c>
      <c r="Q2" s="7" t="n">
        <v>0</v>
      </c>
      <c r="R2" s="7" t="n">
        <v>0</v>
      </c>
      <c r="S2" s="7" t="n">
        <v>0</v>
      </c>
      <c r="T2" s="6" t="n">
        <v>-112383.41</v>
      </c>
      <c r="U2" s="6" t="n">
        <v>3</v>
      </c>
      <c r="V2" s="6" t="n">
        <v>184724.16</v>
      </c>
    </row>
    <row r="3" customFormat="false" ht="15" hidden="false" customHeight="false" outlineLevel="1" collapsed="false">
      <c r="A3" s="2" t="s">
        <v>147</v>
      </c>
      <c r="B3" s="2" t="s">
        <v>120</v>
      </c>
      <c r="C3" s="2" t="s">
        <v>121</v>
      </c>
      <c r="D3" s="2" t="s">
        <v>27</v>
      </c>
      <c r="E3" s="6" t="n">
        <v>151911.55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18" t="n">
        <f aca="false">SUM(E3:H3)</f>
        <v>151911.55</v>
      </c>
      <c r="L3" s="6" t="n">
        <v>151911.55</v>
      </c>
      <c r="M3" s="18" t="n">
        <f aca="false">L3-K3</f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6" t="n">
        <v>151911.55</v>
      </c>
      <c r="V3" s="6" t="n">
        <v>151911.55</v>
      </c>
    </row>
    <row r="4" customFormat="false" ht="15" hidden="false" customHeight="false" outlineLevel="1" collapsed="false">
      <c r="A4" s="2" t="s">
        <v>147</v>
      </c>
      <c r="B4" s="2" t="s">
        <v>122</v>
      </c>
      <c r="C4" s="2" t="s">
        <v>123</v>
      </c>
      <c r="D4" s="2" t="s">
        <v>27</v>
      </c>
      <c r="E4" s="6" t="n">
        <v>335041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18" t="n">
        <f aca="false">SUM(E4:H4)</f>
        <v>335041</v>
      </c>
      <c r="L4" s="6" t="n">
        <v>335041</v>
      </c>
      <c r="M4" s="18" t="n">
        <f aca="false">L4-K4</f>
        <v>0</v>
      </c>
      <c r="N4" s="6" t="n">
        <v>-335040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6" t="n">
        <v>-335040</v>
      </c>
      <c r="U4" s="6" t="n">
        <v>1</v>
      </c>
      <c r="V4" s="6" t="n">
        <v>1</v>
      </c>
    </row>
    <row r="5" customFormat="false" ht="15" hidden="false" customHeight="false" outlineLevel="1" collapsed="false">
      <c r="A5" s="2" t="s">
        <v>147</v>
      </c>
      <c r="B5" s="2" t="s">
        <v>124</v>
      </c>
      <c r="C5" s="2" t="s">
        <v>125</v>
      </c>
      <c r="D5" s="2" t="s">
        <v>27</v>
      </c>
      <c r="E5" s="6" t="n">
        <v>316484.07</v>
      </c>
      <c r="F5" s="6" t="n">
        <v>589945.15</v>
      </c>
      <c r="G5" s="7" t="n">
        <v>0</v>
      </c>
      <c r="H5" s="6" t="n">
        <v>218848.23</v>
      </c>
      <c r="I5" s="7" t="n">
        <v>0</v>
      </c>
      <c r="J5" s="7" t="n">
        <v>0</v>
      </c>
      <c r="K5" s="18" t="n">
        <f aca="false">SUM(E5:H5)</f>
        <v>1125277.45</v>
      </c>
      <c r="L5" s="6" t="n">
        <v>1125277.45</v>
      </c>
      <c r="M5" s="18" t="n">
        <f aca="false">L5-K5</f>
        <v>0</v>
      </c>
      <c r="N5" s="6" t="n">
        <v>-129686.82</v>
      </c>
      <c r="O5" s="6" t="n">
        <v>-87528.25</v>
      </c>
      <c r="P5" s="7" t="n">
        <v>0</v>
      </c>
      <c r="Q5" s="7" t="n">
        <v>0</v>
      </c>
      <c r="R5" s="7" t="n">
        <v>0</v>
      </c>
      <c r="S5" s="7" t="n">
        <v>0</v>
      </c>
      <c r="T5" s="6" t="n">
        <v>-217215.07</v>
      </c>
      <c r="U5" s="6" t="n">
        <v>186797.25</v>
      </c>
      <c r="V5" s="6" t="n">
        <v>908062.38</v>
      </c>
    </row>
    <row r="6" customFormat="false" ht="15" hidden="false" customHeight="false" outlineLevel="1" collapsed="false">
      <c r="A6" s="2" t="s">
        <v>147</v>
      </c>
      <c r="B6" s="2" t="s">
        <v>126</v>
      </c>
      <c r="C6" s="2" t="s">
        <v>127</v>
      </c>
      <c r="D6" s="2" t="s">
        <v>27</v>
      </c>
      <c r="E6" s="6" t="n">
        <v>169059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18" t="n">
        <f aca="false">SUM(E6:H6)</f>
        <v>169059</v>
      </c>
      <c r="L6" s="6" t="n">
        <v>169059</v>
      </c>
      <c r="M6" s="18" t="n">
        <f aca="false">L6-K6</f>
        <v>0</v>
      </c>
      <c r="N6" s="6" t="n">
        <v>-67596.93</v>
      </c>
      <c r="O6" s="6" t="n">
        <v>-7512.1</v>
      </c>
      <c r="P6" s="7" t="n">
        <v>0</v>
      </c>
      <c r="Q6" s="7" t="n">
        <v>0</v>
      </c>
      <c r="R6" s="7" t="n">
        <v>0</v>
      </c>
      <c r="S6" s="7" t="n">
        <v>0</v>
      </c>
      <c r="T6" s="6" t="n">
        <v>-75109.03</v>
      </c>
      <c r="U6" s="6" t="n">
        <v>101462.07</v>
      </c>
      <c r="V6" s="6" t="n">
        <v>93949.97</v>
      </c>
    </row>
    <row r="7" customFormat="false" ht="15" hidden="false" customHeight="false" outlineLevel="1" collapsed="false">
      <c r="A7" s="2" t="s">
        <v>147</v>
      </c>
      <c r="B7" s="2" t="s">
        <v>128</v>
      </c>
      <c r="C7" s="2" t="s">
        <v>129</v>
      </c>
      <c r="D7" s="2" t="s">
        <v>27</v>
      </c>
      <c r="E7" s="6" t="n">
        <v>25317.77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18" t="n">
        <f aca="false">SUM(E7:H7)</f>
        <v>25317.77</v>
      </c>
      <c r="L7" s="6" t="n">
        <v>25317.77</v>
      </c>
      <c r="M7" s="18" t="n">
        <f aca="false">L7-K7</f>
        <v>0</v>
      </c>
      <c r="N7" s="6" t="n">
        <v>-17176.8</v>
      </c>
      <c r="O7" s="6" t="n">
        <v>-3250.23</v>
      </c>
      <c r="P7" s="7" t="n">
        <v>0</v>
      </c>
      <c r="Q7" s="7" t="n">
        <v>0</v>
      </c>
      <c r="R7" s="7" t="n">
        <v>0</v>
      </c>
      <c r="S7" s="7" t="n">
        <v>0</v>
      </c>
      <c r="T7" s="6" t="n">
        <v>-20427.03</v>
      </c>
      <c r="U7" s="6" t="n">
        <v>8140.97</v>
      </c>
      <c r="V7" s="6" t="n">
        <v>4890.74</v>
      </c>
    </row>
    <row r="8" customFormat="false" ht="15" hidden="false" customHeight="false" outlineLevel="1" collapsed="false">
      <c r="A8" s="2" t="s">
        <v>147</v>
      </c>
      <c r="B8" s="2" t="s">
        <v>130</v>
      </c>
      <c r="C8" s="2" t="s">
        <v>131</v>
      </c>
      <c r="D8" s="2" t="s">
        <v>27</v>
      </c>
      <c r="E8" s="6" t="n">
        <v>2719.21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18" t="n">
        <f aca="false">SUM(E8:H8)</f>
        <v>2719.21</v>
      </c>
      <c r="L8" s="6" t="n">
        <v>2719.21</v>
      </c>
      <c r="M8" s="18" t="n">
        <f aca="false">L8-K8</f>
        <v>0</v>
      </c>
      <c r="N8" s="6" t="n">
        <v>-2577.28</v>
      </c>
      <c r="O8" s="6" t="n">
        <v>-32.52</v>
      </c>
      <c r="P8" s="7" t="n">
        <v>0</v>
      </c>
      <c r="Q8" s="7" t="n">
        <v>0</v>
      </c>
      <c r="R8" s="7" t="n">
        <v>0</v>
      </c>
      <c r="S8" s="7" t="n">
        <v>0</v>
      </c>
      <c r="T8" s="6" t="n">
        <v>-2609.8</v>
      </c>
      <c r="U8" s="6" t="n">
        <v>141.93</v>
      </c>
      <c r="V8" s="6" t="n">
        <v>109.41</v>
      </c>
    </row>
    <row r="9" customFormat="false" ht="15" hidden="false" customHeight="false" outlineLevel="1" collapsed="false">
      <c r="A9" s="2" t="s">
        <v>147</v>
      </c>
      <c r="B9" s="2" t="s">
        <v>132</v>
      </c>
      <c r="C9" s="2" t="s">
        <v>133</v>
      </c>
      <c r="D9" s="2" t="s">
        <v>27</v>
      </c>
      <c r="E9" s="6" t="n">
        <v>43840.18</v>
      </c>
      <c r="F9" s="6" t="n">
        <v>20040.24</v>
      </c>
      <c r="G9" s="7" t="n">
        <v>0</v>
      </c>
      <c r="H9" s="7" t="n">
        <v>0</v>
      </c>
      <c r="I9" s="7" t="n">
        <v>0</v>
      </c>
      <c r="J9" s="7" t="n">
        <v>0</v>
      </c>
      <c r="K9" s="18" t="n">
        <f aca="false">SUM(E9:H9)</f>
        <v>63880.42</v>
      </c>
      <c r="L9" s="6" t="n">
        <v>63880.42</v>
      </c>
      <c r="M9" s="18" t="n">
        <f aca="false">L9-K9</f>
        <v>0</v>
      </c>
      <c r="N9" s="6" t="n">
        <v>-43838.18</v>
      </c>
      <c r="O9" s="6" t="n">
        <v>-1391.68</v>
      </c>
      <c r="P9" s="7" t="n">
        <v>0</v>
      </c>
      <c r="Q9" s="7" t="n">
        <v>0</v>
      </c>
      <c r="R9" s="7" t="n">
        <v>0</v>
      </c>
      <c r="S9" s="7" t="n">
        <v>0</v>
      </c>
      <c r="T9" s="6" t="n">
        <v>-45229.86</v>
      </c>
      <c r="U9" s="6" t="n">
        <v>2</v>
      </c>
      <c r="V9" s="6" t="n">
        <v>18650.56</v>
      </c>
    </row>
    <row r="10" customFormat="false" ht="15" hidden="false" customHeight="false" outlineLevel="1" collapsed="false">
      <c r="A10" s="2" t="s">
        <v>147</v>
      </c>
      <c r="B10" s="2" t="s">
        <v>134</v>
      </c>
      <c r="C10" s="2" t="s">
        <v>135</v>
      </c>
      <c r="D10" s="2" t="s">
        <v>27</v>
      </c>
      <c r="E10" s="6" t="n">
        <v>206826.77</v>
      </c>
      <c r="F10" s="6" t="n">
        <v>196930.33</v>
      </c>
      <c r="G10" s="7" t="n">
        <v>0</v>
      </c>
      <c r="H10" s="7" t="n">
        <v>0</v>
      </c>
      <c r="I10" s="7" t="n">
        <v>0</v>
      </c>
      <c r="J10" s="7" t="n">
        <v>0</v>
      </c>
      <c r="K10" s="18" t="n">
        <f aca="false">SUM(E10:H10)</f>
        <v>403757.1</v>
      </c>
      <c r="L10" s="6" t="n">
        <v>403757.1</v>
      </c>
      <c r="M10" s="18" t="n">
        <f aca="false">L10-K10</f>
        <v>0</v>
      </c>
      <c r="N10" s="6" t="n">
        <v>-206824.77</v>
      </c>
      <c r="O10" s="6" t="n">
        <v>-17380.05</v>
      </c>
      <c r="P10" s="7" t="n">
        <v>0</v>
      </c>
      <c r="Q10" s="7" t="n">
        <v>0</v>
      </c>
      <c r="R10" s="7" t="n">
        <v>0</v>
      </c>
      <c r="S10" s="7" t="n">
        <v>0</v>
      </c>
      <c r="T10" s="6" t="n">
        <v>-224204.82</v>
      </c>
      <c r="U10" s="6" t="n">
        <v>2</v>
      </c>
      <c r="V10" s="6" t="n">
        <v>179552.28</v>
      </c>
    </row>
    <row r="11" customFormat="false" ht="15" hidden="false" customHeight="false" outlineLevel="1" collapsed="false">
      <c r="A11" s="2" t="s">
        <v>147</v>
      </c>
      <c r="B11" s="2" t="s">
        <v>136</v>
      </c>
      <c r="C11" s="2" t="s">
        <v>137</v>
      </c>
      <c r="D11" s="2" t="s">
        <v>27</v>
      </c>
      <c r="E11" s="6" t="n">
        <v>4994.6</v>
      </c>
      <c r="F11" s="6" t="n">
        <v>10259</v>
      </c>
      <c r="G11" s="6" t="n">
        <v>-1560.93</v>
      </c>
      <c r="H11" s="7" t="n">
        <v>0</v>
      </c>
      <c r="I11" s="7" t="n">
        <v>0</v>
      </c>
      <c r="J11" s="7" t="n">
        <v>0</v>
      </c>
      <c r="K11" s="18" t="n">
        <f aca="false">SUM(E11:H11)</f>
        <v>13692.67</v>
      </c>
      <c r="L11" s="6" t="n">
        <v>13692.67</v>
      </c>
      <c r="M11" s="18" t="n">
        <f aca="false">L11-K11</f>
        <v>0</v>
      </c>
      <c r="N11" s="6" t="n">
        <v>-4836.51</v>
      </c>
      <c r="O11" s="6" t="n">
        <v>-1069.75</v>
      </c>
      <c r="P11" s="6" t="n">
        <v>1559.93</v>
      </c>
      <c r="Q11" s="7" t="n">
        <v>0</v>
      </c>
      <c r="R11" s="7" t="n">
        <v>0</v>
      </c>
      <c r="S11" s="7" t="n">
        <v>0</v>
      </c>
      <c r="T11" s="6" t="n">
        <v>-4346.33</v>
      </c>
      <c r="U11" s="6" t="n">
        <v>158.09</v>
      </c>
      <c r="V11" s="6" t="n">
        <v>9346.34</v>
      </c>
    </row>
    <row r="12" customFormat="false" ht="15" hidden="false" customHeight="false" outlineLevel="1" collapsed="false">
      <c r="A12" s="2" t="s">
        <v>147</v>
      </c>
      <c r="B12" s="2" t="s">
        <v>138</v>
      </c>
      <c r="C12" s="2" t="s">
        <v>148</v>
      </c>
      <c r="D12" s="2" t="s">
        <v>27</v>
      </c>
      <c r="E12" s="7" t="n">
        <v>0</v>
      </c>
      <c r="F12" s="6" t="n">
        <v>423</v>
      </c>
      <c r="G12" s="7" t="n">
        <v>0</v>
      </c>
      <c r="H12" s="7" t="n">
        <v>0</v>
      </c>
      <c r="I12" s="7" t="n">
        <v>0</v>
      </c>
      <c r="J12" s="7" t="n">
        <v>0</v>
      </c>
      <c r="K12" s="18" t="n">
        <f aca="false">SUM(E12:H12)</f>
        <v>423</v>
      </c>
      <c r="L12" s="6" t="n">
        <v>423</v>
      </c>
      <c r="M12" s="18" t="n">
        <f aca="false">L12-K12</f>
        <v>0</v>
      </c>
      <c r="N12" s="7" t="n">
        <v>0</v>
      </c>
      <c r="O12" s="6" t="n">
        <v>-423</v>
      </c>
      <c r="P12" s="7" t="n">
        <v>0</v>
      </c>
      <c r="Q12" s="7" t="n">
        <v>0</v>
      </c>
      <c r="R12" s="7" t="n">
        <v>0</v>
      </c>
      <c r="S12" s="7" t="n">
        <v>0</v>
      </c>
      <c r="T12" s="6" t="n">
        <v>-423</v>
      </c>
      <c r="U12" s="7" t="n">
        <v>0</v>
      </c>
      <c r="V12" s="7" t="n">
        <v>0</v>
      </c>
    </row>
    <row r="13" customFormat="false" ht="15" hidden="false" customHeight="false" outlineLevel="1" collapsed="false">
      <c r="A13" s="2" t="s">
        <v>147</v>
      </c>
      <c r="B13" s="2" t="s">
        <v>140</v>
      </c>
      <c r="C13" s="2" t="s">
        <v>141</v>
      </c>
      <c r="D13" s="2" t="s">
        <v>27</v>
      </c>
      <c r="E13" s="6" t="n">
        <v>162150</v>
      </c>
      <c r="F13" s="6" t="n">
        <v>56698.23</v>
      </c>
      <c r="G13" s="7" t="n">
        <v>0</v>
      </c>
      <c r="H13" s="6" t="n">
        <v>-218848.23</v>
      </c>
      <c r="I13" s="7" t="n">
        <v>0</v>
      </c>
      <c r="J13" s="7" t="n">
        <v>0</v>
      </c>
      <c r="K13" s="18" t="n">
        <f aca="false">SUM(E13:H13)</f>
        <v>-7.27595761418343E-012</v>
      </c>
      <c r="L13" s="7" t="n">
        <v>0</v>
      </c>
      <c r="M13" s="18" t="n">
        <f aca="false">L13-K13</f>
        <v>7.27595761418343E-012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6" t="n">
        <v>162150</v>
      </c>
      <c r="V13" s="7" t="n">
        <v>0</v>
      </c>
    </row>
    <row r="14" customFormat="false" ht="15" hidden="false" customHeight="false" outlineLevel="1" collapsed="false">
      <c r="A14" s="2" t="s">
        <v>147</v>
      </c>
      <c r="B14" s="2" t="s">
        <v>142</v>
      </c>
      <c r="C14" s="2" t="s">
        <v>143</v>
      </c>
      <c r="D14" s="2" t="s">
        <v>27</v>
      </c>
      <c r="E14" s="6" t="n">
        <v>44274.86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18" t="n">
        <f aca="false">SUM(E14:H14)</f>
        <v>44274.86</v>
      </c>
      <c r="L14" s="6" t="n">
        <v>44274.86</v>
      </c>
      <c r="M14" s="18" t="n">
        <f aca="false">L14-K14</f>
        <v>0</v>
      </c>
      <c r="N14" s="6" t="n">
        <v>-7239</v>
      </c>
      <c r="O14" s="7" t="n">
        <v>0</v>
      </c>
      <c r="P14" s="7" t="n">
        <v>0</v>
      </c>
      <c r="Q14" s="7" t="n">
        <v>0</v>
      </c>
      <c r="R14" s="7" t="n">
        <v>0</v>
      </c>
      <c r="S14" s="6" t="n">
        <v>3619.5</v>
      </c>
      <c r="T14" s="6" t="n">
        <v>-3619.5</v>
      </c>
      <c r="U14" s="6" t="n">
        <v>37035.86</v>
      </c>
      <c r="V14" s="6" t="n">
        <v>40655.36</v>
      </c>
    </row>
    <row r="15" customFormat="false" ht="15" hidden="false" customHeight="false" outlineLevel="0" collapsed="false">
      <c r="A15" s="8" t="s">
        <v>105</v>
      </c>
      <c r="B15" s="8"/>
      <c r="C15" s="8"/>
      <c r="D15" s="8" t="s">
        <v>27</v>
      </c>
      <c r="E15" s="9" t="n">
        <v>1546304.91</v>
      </c>
      <c r="F15" s="9" t="n">
        <v>1087717.62</v>
      </c>
      <c r="G15" s="9" t="n">
        <v>-1560.93</v>
      </c>
      <c r="H15" s="10" t="n">
        <v>0</v>
      </c>
      <c r="I15" s="10" t="n">
        <v>0</v>
      </c>
      <c r="J15" s="10" t="n">
        <v>0</v>
      </c>
      <c r="K15" s="19" t="n">
        <f aca="false">SUM(K2:K14)</f>
        <v>2632461.6</v>
      </c>
      <c r="L15" s="9" t="n">
        <v>2632461.6</v>
      </c>
      <c r="M15" s="19" t="n">
        <f aca="false">SUM(M2:M14)</f>
        <v>7.27595761418343E-012</v>
      </c>
      <c r="N15" s="9" t="n">
        <v>-898499.19</v>
      </c>
      <c r="O15" s="9" t="n">
        <v>-147288.09</v>
      </c>
      <c r="P15" s="9" t="n">
        <v>1559.93</v>
      </c>
      <c r="Q15" s="10" t="n">
        <v>0</v>
      </c>
      <c r="R15" s="10" t="n">
        <v>0</v>
      </c>
      <c r="S15" s="9" t="n">
        <v>3619.5</v>
      </c>
      <c r="T15" s="9" t="n">
        <v>-1040607.85</v>
      </c>
      <c r="U15" s="9" t="n">
        <v>647805.72</v>
      </c>
      <c r="V15" s="9" t="n">
        <v>1591853.75</v>
      </c>
    </row>
    <row r="16" customFormat="false" ht="15" hidden="false" customHeight="false" outlineLevel="0" collapsed="false">
      <c r="A16" s="11"/>
      <c r="B16" s="11"/>
      <c r="C16" s="11"/>
      <c r="D16" s="11" t="s">
        <v>27</v>
      </c>
      <c r="E16" s="12" t="n">
        <v>1546304.91</v>
      </c>
      <c r="F16" s="12" t="n">
        <v>1087717.62</v>
      </c>
      <c r="G16" s="12" t="n">
        <v>-1560.93</v>
      </c>
      <c r="H16" s="13" t="n">
        <v>0</v>
      </c>
      <c r="I16" s="13" t="n">
        <v>0</v>
      </c>
      <c r="J16" s="13" t="n">
        <v>0</v>
      </c>
      <c r="K16" s="20" t="n">
        <f aca="false">SUM(K2:K14)</f>
        <v>2632461.6</v>
      </c>
      <c r="L16" s="12" t="n">
        <v>2632461.6</v>
      </c>
      <c r="M16" s="20" t="n">
        <f aca="false">SUM(M2:M14)</f>
        <v>7.27595761418343E-012</v>
      </c>
      <c r="N16" s="12" t="n">
        <v>-898499.19</v>
      </c>
      <c r="O16" s="12" t="n">
        <v>-147288.09</v>
      </c>
      <c r="P16" s="12" t="n">
        <v>1559.93</v>
      </c>
      <c r="Q16" s="13" t="n">
        <v>0</v>
      </c>
      <c r="R16" s="13" t="n">
        <v>0</v>
      </c>
      <c r="S16" s="12" t="n">
        <v>3619.5</v>
      </c>
      <c r="T16" s="12" t="n">
        <v>-1040607.85</v>
      </c>
      <c r="U16" s="12" t="n">
        <v>647805.72</v>
      </c>
      <c r="V16" s="12" t="n">
        <v>1591853.75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openpyxl</dc:creator>
  <dc:description/>
  <dc:language>en-US</dc:language>
  <cp:lastModifiedBy/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