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<sst xmlns="http://schemas.openxmlformats.org/spreadsheetml/2006/main" count="300" uniqueCount="153">
  <si>
    <t xml:space="preserve">Jahresabschluss per 30.06.2025</t>
  </si>
  <si>
    <t xml:space="preserve">BK: 7335</t>
  </si>
  <si>
    <t xml:space="preserve">SUMMEN</t>
  </si>
  <si>
    <t xml:space="preserve">Anlage</t>
  </si>
  <si>
    <t xml:space="preserve">Unter-nummer</t>
  </si>
  <si>
    <t xml:space="preserve">Aktivierung am</t>
  </si>
  <si>
    <t xml:space="preserve">Anlagenbezeichnung</t>
  </si>
  <si>
    <t xml:space="preserve">Währ-ung</t>
  </si>
  <si>
    <t xml:space="preserve">AHK GJ-Beg</t>
  </si>
  <si>
    <t xml:space="preserve">Zugang</t>
  </si>
  <si>
    <t xml:space="preserve">Abgang</t>
  </si>
  <si>
    <t xml:space="preserve">Umbuchung</t>
  </si>
  <si>
    <t xml:space="preserve">Nachaktivg</t>
  </si>
  <si>
    <t xml:space="preserve">Invest.Förderg</t>
  </si>
  <si>
    <t xml:space="preserve">aktuelle AHK</t>
  </si>
  <si>
    <t xml:space="preserve">AfA GJ-Beg</t>
  </si>
  <si>
    <t xml:space="preserve">AfA des Jahres</t>
  </si>
  <si>
    <t xml:space="preserve">AfA Abgang</t>
  </si>
  <si>
    <t xml:space="preserve">AfA Umbuchung</t>
  </si>
  <si>
    <t xml:space="preserve">AfA Nachaktivg</t>
  </si>
  <si>
    <t xml:space="preserve">Zuschreibungen</t>
  </si>
  <si>
    <t xml:space="preserve">kumulierte AfA</t>
  </si>
  <si>
    <t xml:space="preserve">Buchwrt GJ-Beg</t>
  </si>
  <si>
    <t xml:space="preserve">lfd Buchwert</t>
  </si>
  <si>
    <t xml:space="preserve">100001001</t>
  </si>
  <si>
    <t xml:space="preserve">0</t>
  </si>
  <si>
    <t xml:space="preserve">Zeiterfassung Software</t>
  </si>
  <si>
    <t xml:space="preserve">EUR</t>
  </si>
  <si>
    <t xml:space="preserve">100001002</t>
  </si>
  <si>
    <t xml:space="preserve">CAD-Software Lizenz Nr. 23</t>
  </si>
  <si>
    <t xml:space="preserve">1</t>
  </si>
  <si>
    <t xml:space="preserve">CAD-Software Lizenz Nr. 23 Nachrüstung</t>
  </si>
  <si>
    <t xml:space="preserve">100001003</t>
  </si>
  <si>
    <t xml:space="preserve">Finanzbuchhaltung Software</t>
  </si>
  <si>
    <t xml:space="preserve">100001004</t>
  </si>
  <si>
    <t xml:space="preserve">Office-Lizenzen</t>
  </si>
  <si>
    <t xml:space="preserve">200001001</t>
  </si>
  <si>
    <t xml:space="preserve">Grund und Boden Betriebsgelände</t>
  </si>
  <si>
    <t xml:space="preserve">200001002</t>
  </si>
  <si>
    <t xml:space="preserve">Erweiterungsfläche</t>
  </si>
  <si>
    <t xml:space="preserve">210001001</t>
  </si>
  <si>
    <t xml:space="preserve">Produktionshalle</t>
  </si>
  <si>
    <t xml:space="preserve">210001002</t>
  </si>
  <si>
    <t xml:space="preserve">Anbau Sozialtrakt</t>
  </si>
  <si>
    <t xml:space="preserve">Anbau Sozialtrakt Erweiterung</t>
  </si>
  <si>
    <t xml:space="preserve">210001003</t>
  </si>
  <si>
    <t xml:space="preserve">210001004</t>
  </si>
  <si>
    <t xml:space="preserve">Lagerhalle</t>
  </si>
  <si>
    <t xml:space="preserve">300001001</t>
  </si>
  <si>
    <t xml:space="preserve">Bandsäge (gebraucht)</t>
  </si>
  <si>
    <t xml:space="preserve">300001002</t>
  </si>
  <si>
    <t xml:space="preserve">Spritzgießmaschine</t>
  </si>
  <si>
    <t xml:space="preserve">300001003</t>
  </si>
  <si>
    <t xml:space="preserve">Bandsäge Nr. 32</t>
  </si>
  <si>
    <t xml:space="preserve">300001004</t>
  </si>
  <si>
    <t xml:space="preserve">CNC-Fräszentrum 5-Achs</t>
  </si>
  <si>
    <t xml:space="preserve">300001005</t>
  </si>
  <si>
    <t xml:space="preserve">CNC-Drehmaschine</t>
  </si>
  <si>
    <t xml:space="preserve">300001006</t>
  </si>
  <si>
    <t xml:space="preserve">CNC-Drehmaschine (gebraucht)</t>
  </si>
  <si>
    <t xml:space="preserve">310001001</t>
  </si>
  <si>
    <t xml:space="preserve">Notstromaggregat Nr. 31</t>
  </si>
  <si>
    <t xml:space="preserve">310001002</t>
  </si>
  <si>
    <t xml:space="preserve">Absauganlage (gebraucht)</t>
  </si>
  <si>
    <t xml:space="preserve">400001001</t>
  </si>
  <si>
    <t xml:space="preserve">Gabelstapler Nr. 20</t>
  </si>
  <si>
    <t xml:space="preserve">Gabelstapler Nr. 20 Zusatzmodul</t>
  </si>
  <si>
    <t xml:space="preserve">400001002</t>
  </si>
  <si>
    <t xml:space="preserve">Gabelstapler</t>
  </si>
  <si>
    <t xml:space="preserve">400001003</t>
  </si>
  <si>
    <t xml:space="preserve">Gabelstapler Typ M364</t>
  </si>
  <si>
    <t xml:space="preserve">400001004</t>
  </si>
  <si>
    <t xml:space="preserve">410001001</t>
  </si>
  <si>
    <t xml:space="preserve">Aktenschrank</t>
  </si>
  <si>
    <t xml:space="preserve">410001002</t>
  </si>
  <si>
    <t xml:space="preserve">Regalsystem Archiv</t>
  </si>
  <si>
    <t xml:space="preserve">410001003</t>
  </si>
  <si>
    <t xml:space="preserve">Rollcontainer Nr. 30</t>
  </si>
  <si>
    <t xml:space="preserve">420001001</t>
  </si>
  <si>
    <t xml:space="preserve">Pkw Kompaktklasse (gebraucht)</t>
  </si>
  <si>
    <t xml:space="preserve">420001002</t>
  </si>
  <si>
    <t xml:space="preserve">Pkw Elektro Nr. 34</t>
  </si>
  <si>
    <t xml:space="preserve">420001003</t>
  </si>
  <si>
    <t xml:space="preserve">Pkw Kombi Diesel Halle 4</t>
  </si>
  <si>
    <t xml:space="preserve">430001001</t>
  </si>
  <si>
    <t xml:space="preserve">Tandemanhänger Nr. 14</t>
  </si>
  <si>
    <t xml:space="preserve">430001002</t>
  </si>
  <si>
    <t xml:space="preserve">Kastenwagen Nr. 20</t>
  </si>
  <si>
    <t xml:space="preserve">430001003</t>
  </si>
  <si>
    <t xml:space="preserve">Sattelzugmaschine (gebraucht)</t>
  </si>
  <si>
    <t xml:space="preserve">Sattelzugmaschine (gebraucht) Erweiterung</t>
  </si>
  <si>
    <t xml:space="preserve">430001004</t>
  </si>
  <si>
    <t xml:space="preserve">Tandemanhänger</t>
  </si>
  <si>
    <t xml:space="preserve">Tandemanhänger Erweiterung</t>
  </si>
  <si>
    <t xml:space="preserve">440001001</t>
  </si>
  <si>
    <t xml:space="preserve">Notebook (gebraucht)</t>
  </si>
  <si>
    <t xml:space="preserve">440001002</t>
  </si>
  <si>
    <t xml:space="preserve">Serverschrank 42HE Typ R633</t>
  </si>
  <si>
    <t xml:space="preserve">440001003</t>
  </si>
  <si>
    <t xml:space="preserve">NAS-Speicher</t>
  </si>
  <si>
    <t xml:space="preserve">NAS-Speicher Erweiterung</t>
  </si>
  <si>
    <t xml:space="preserve">440001004</t>
  </si>
  <si>
    <t xml:space="preserve">Serverschrank 42HE Halle 1</t>
  </si>
  <si>
    <t xml:space="preserve">490001001</t>
  </si>
  <si>
    <t xml:space="preserve">Messschieber digital</t>
  </si>
  <si>
    <t xml:space="preserve">490001002</t>
  </si>
  <si>
    <t xml:space="preserve">Stehleuchte</t>
  </si>
  <si>
    <t xml:space="preserve">500001001</t>
  </si>
  <si>
    <t xml:space="preserve">AiB CNC-Drehmaschine (gebraucht)</t>
  </si>
  <si>
    <t xml:space="preserve">600001001</t>
  </si>
  <si>
    <t xml:space="preserve">Geschäftsanteile Genossenschaftsbank</t>
  </si>
  <si>
    <t xml:space="preserve">600001002</t>
  </si>
  <si>
    <t xml:space="preserve">600001003</t>
  </si>
  <si>
    <t xml:space="preserve">Beteiligung Einkaufsgenossenschaft</t>
  </si>
  <si>
    <t xml:space="preserve">Buchungskreis 7335</t>
  </si>
  <si>
    <t xml:space="preserve">Abstimmung Bilanz</t>
  </si>
  <si>
    <t xml:space="preserve">lfd Buchwert lt. Anlagengitter</t>
  </si>
  <si>
    <t xml:space="preserve">Immaterielle VG lt. Bilanz</t>
  </si>
  <si>
    <t xml:space="preserve">Sachanlagen lt. Bilanz</t>
  </si>
  <si>
    <t xml:space="preserve">Finanzanlagen lt. Bilanz</t>
  </si>
  <si>
    <t xml:space="preserve">Differenz</t>
  </si>
  <si>
    <t xml:space="preserve">Buchungskreis</t>
  </si>
  <si>
    <t xml:space="preserve">Anlagenklasse</t>
  </si>
  <si>
    <t xml:space="preserve">Bezeichnung</t>
  </si>
  <si>
    <t xml:space="preserve">SUMME AHK / Zugang / Abgang / Umbuchung</t>
  </si>
  <si>
    <t xml:space="preserve">Differenz zu aktuelle AHK</t>
  </si>
  <si>
    <t xml:space="preserve">7335</t>
  </si>
  <si>
    <t xml:space="preserve">1000</t>
  </si>
  <si>
    <t xml:space="preserve">EDV-Software</t>
  </si>
  <si>
    <t xml:space="preserve">2000</t>
  </si>
  <si>
    <t xml:space="preserve">Grund und Boden</t>
  </si>
  <si>
    <t xml:space="preserve">2100</t>
  </si>
  <si>
    <t xml:space="preserve">Fabrikbauten</t>
  </si>
  <si>
    <t xml:space="preserve">3000</t>
  </si>
  <si>
    <t xml:space="preserve">Maschinen</t>
  </si>
  <si>
    <t xml:space="preserve">3100</t>
  </si>
  <si>
    <t xml:space="preserve">Technische Anlagen</t>
  </si>
  <si>
    <t xml:space="preserve">4000</t>
  </si>
  <si>
    <t xml:space="preserve">Betriebsausstattung</t>
  </si>
  <si>
    <t xml:space="preserve">4100</t>
  </si>
  <si>
    <t xml:space="preserve">Büroeinrichtung</t>
  </si>
  <si>
    <t xml:space="preserve">4200</t>
  </si>
  <si>
    <t xml:space="preserve">Pkw</t>
  </si>
  <si>
    <t xml:space="preserve">4300</t>
  </si>
  <si>
    <t xml:space="preserve">Lkw</t>
  </si>
  <si>
    <t xml:space="preserve">4400</t>
  </si>
  <si>
    <t xml:space="preserve">EDV-Hardware</t>
  </si>
  <si>
    <t xml:space="preserve">4900</t>
  </si>
  <si>
    <t xml:space="preserve">GWG</t>
  </si>
  <si>
    <t xml:space="preserve">5000</t>
  </si>
  <si>
    <t xml:space="preserve">Anlagen im Bau</t>
  </si>
  <si>
    <t xml:space="preserve">6000</t>
  </si>
  <si>
    <t xml:space="preserve">Beteiligungen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</si>
</sst>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dd\.mm\.yyyy"/>
    <numFmt numFmtId="167" formatCode="#,##0.00"/>
    <numFmt numFmtId="168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E2EFDA"/>
      </patternFill>
    </fill>
    <fill>
      <patternFill patternType="solid">
        <fgColor rgb="FFFFFB8B"/>
        <bgColor rgb="FFFFFFCC"/>
      </patternFill>
    </fill>
    <fill>
      <patternFill patternType="solid">
        <fgColor rgb="FFFFF844"/>
        <bgColor rgb="FFFFFF00"/>
      </patternFill>
    </fill>
    <fill>
      <patternFill patternType="solid">
        <fgColor rgb="FFE2EFDA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4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B8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U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2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21" min="6" style="0" width="15"/>
  </cols>
  <sheetData>
    <row r="4" customFormat="false" ht="15" hidden="false" customHeight="false" outlineLevel="0" collapsed="false">
      <c r="A4" s="1" t="s">
        <v>0</v>
      </c>
    </row>
    <row r="6" customFormat="false" ht="15" hidden="false" customHeight="false" outlineLevel="0" collapsed="false">
      <c r="A6" s="2" t="s">
        <v>1</v>
      </c>
    </row>
    <row r="9" customFormat="false" ht="15" hidden="false" customHeight="false" outlineLevel="0" collapsed="false">
      <c r="A9" s="1" t="s">
        <v>2</v>
      </c>
      <c r="B9" s="1"/>
      <c r="C9" s="1"/>
      <c r="D9" s="1"/>
      <c r="E9" s="1"/>
      <c r="F9" s="3" t="n">
        <f aca="false">SUBTOTAL(9,F14:F61)</f>
        <v>4407179.49</v>
      </c>
      <c r="G9" s="3" t="n">
        <f aca="false">SUBTOTAL(9,G14:G61)</f>
        <v>467997.01</v>
      </c>
      <c r="H9" s="3" t="n">
        <f aca="false">SUBTOTAL(9,H14:H61)</f>
        <v>-179543</v>
      </c>
      <c r="I9" s="3" t="n">
        <f aca="false">SUBTOTAL(9,I14:I61)</f>
        <v>-287247.04</v>
      </c>
      <c r="J9" s="3" t="n">
        <f aca="false">SUBTOTAL(9,J14:J61)</f>
        <v>0</v>
      </c>
      <c r="K9" s="3" t="n">
        <f aca="false">SUBTOTAL(9,K14:K61)</f>
        <v>0</v>
      </c>
      <c r="L9" s="3" t="n">
        <f aca="false">SUBTOTAL(9,L14:L61)</f>
        <v>4695633.5</v>
      </c>
      <c r="M9" s="3" t="n">
        <f aca="false">SUBTOTAL(9,M14:M61)</f>
        <v>-2740974.75</v>
      </c>
      <c r="N9" s="3" t="n">
        <f aca="false">SUBTOTAL(9,N14:N61)</f>
        <v>-111676.65</v>
      </c>
      <c r="O9" s="3" t="n">
        <f aca="false">SUBTOTAL(9,O14:O61)</f>
        <v>68824.82</v>
      </c>
      <c r="P9" s="3" t="n">
        <f aca="false">SUBTOTAL(9,P14:P61)</f>
        <v>0</v>
      </c>
      <c r="Q9" s="3" t="n">
        <f aca="false">SUBTOTAL(9,Q14:Q61)</f>
        <v>0</v>
      </c>
      <c r="R9" s="3" t="n">
        <f aca="false">SUBTOTAL(9,R14:R61)</f>
        <v>308.4</v>
      </c>
      <c r="S9" s="3" t="n">
        <f aca="false">SUBTOTAL(9,S14:S61)</f>
        <v>-2783518.18</v>
      </c>
      <c r="T9" s="3" t="n">
        <f aca="false">SUBTOTAL(9,T14:T61)</f>
        <v>1666204.74</v>
      </c>
      <c r="U9" s="3" t="n">
        <f aca="false">SUBTOTAL(9,U14:U61)</f>
        <v>1912115.32</v>
      </c>
    </row>
    <row r="13" customFormat="false" ht="30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  <c r="U13" s="4" t="s">
        <v>23</v>
      </c>
    </row>
    <row r="14" customFormat="false" ht="15" hidden="true" customHeight="false" outlineLevel="2" collapsed="false">
      <c r="A14" s="2" t="s">
        <v>24</v>
      </c>
      <c r="B14" s="2" t="s">
        <v>25</v>
      </c>
      <c r="C14" s="5" t="n">
        <v>41238</v>
      </c>
      <c r="D14" s="2" t="s">
        <v>26</v>
      </c>
      <c r="E14" s="2" t="s">
        <v>27</v>
      </c>
      <c r="F14" s="6" t="n">
        <v>109851.99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6" t="n">
        <v>109851.99</v>
      </c>
      <c r="M14" s="6" t="n">
        <v>-109850.99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6" t="n">
        <v>-109850.99</v>
      </c>
      <c r="T14" s="6" t="n">
        <v>1</v>
      </c>
      <c r="U14" s="6" t="n">
        <v>1</v>
      </c>
    </row>
    <row r="15" customFormat="false" ht="15" hidden="true" customHeight="false" outlineLevel="2" collapsed="false">
      <c r="A15" s="2" t="s">
        <v>28</v>
      </c>
      <c r="B15" s="2" t="s">
        <v>25</v>
      </c>
      <c r="C15" s="5" t="n">
        <v>42207</v>
      </c>
      <c r="D15" s="2" t="s">
        <v>29</v>
      </c>
      <c r="E15" s="2" t="s">
        <v>27</v>
      </c>
      <c r="F15" s="6" t="n">
        <v>112417.6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6" t="n">
        <v>112417.6</v>
      </c>
      <c r="M15" s="6" t="n">
        <v>-112416.6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6" t="n">
        <v>-112416.6</v>
      </c>
      <c r="T15" s="6" t="n">
        <v>1</v>
      </c>
      <c r="U15" s="6" t="n">
        <v>1</v>
      </c>
    </row>
    <row r="16" customFormat="false" ht="15" hidden="true" customHeight="false" outlineLevel="2" collapsed="false">
      <c r="A16" s="2" t="s">
        <v>28</v>
      </c>
      <c r="B16" s="2" t="s">
        <v>30</v>
      </c>
      <c r="C16" s="5" t="n">
        <v>44053</v>
      </c>
      <c r="D16" s="2" t="s">
        <v>31</v>
      </c>
      <c r="E16" s="2" t="s">
        <v>27</v>
      </c>
      <c r="F16" s="6" t="n">
        <v>12285.4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6" t="n">
        <v>12285.4</v>
      </c>
      <c r="M16" s="6" t="n">
        <v>-9623.56</v>
      </c>
      <c r="N16" s="6" t="n">
        <v>-2457.08</v>
      </c>
      <c r="O16" s="7" t="n">
        <v>0</v>
      </c>
      <c r="P16" s="7" t="n">
        <v>0</v>
      </c>
      <c r="Q16" s="7" t="n">
        <v>0</v>
      </c>
      <c r="R16" s="7" t="n">
        <v>0</v>
      </c>
      <c r="S16" s="6" t="n">
        <v>-12080.64</v>
      </c>
      <c r="T16" s="6" t="n">
        <v>2661.84</v>
      </c>
      <c r="U16" s="6" t="n">
        <v>204.76</v>
      </c>
    </row>
    <row r="17" customFormat="false" ht="15" hidden="true" customHeight="false" outlineLevel="2" collapsed="false">
      <c r="A17" s="2" t="s">
        <v>32</v>
      </c>
      <c r="B17" s="2" t="s">
        <v>25</v>
      </c>
      <c r="C17" s="5" t="n">
        <v>43741</v>
      </c>
      <c r="D17" s="2" t="s">
        <v>33</v>
      </c>
      <c r="E17" s="2" t="s">
        <v>27</v>
      </c>
      <c r="F17" s="6" t="n">
        <v>3871.93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6" t="n">
        <v>3871.93</v>
      </c>
      <c r="M17" s="6" t="n">
        <v>-3870.93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6" t="n">
        <v>-3870.93</v>
      </c>
      <c r="T17" s="6" t="n">
        <v>1</v>
      </c>
      <c r="U17" s="6" t="n">
        <v>1</v>
      </c>
    </row>
    <row r="18" customFormat="false" ht="15" hidden="true" customHeight="false" outlineLevel="2" collapsed="false">
      <c r="A18" s="2" t="s">
        <v>34</v>
      </c>
      <c r="B18" s="2" t="s">
        <v>25</v>
      </c>
      <c r="C18" s="5" t="n">
        <v>45567</v>
      </c>
      <c r="D18" s="2" t="s">
        <v>35</v>
      </c>
      <c r="E18" s="2" t="s">
        <v>27</v>
      </c>
      <c r="F18" s="7" t="n">
        <v>0</v>
      </c>
      <c r="G18" s="6" t="n">
        <v>1725</v>
      </c>
      <c r="H18" s="7" t="n">
        <v>0</v>
      </c>
      <c r="I18" s="7" t="n">
        <v>0</v>
      </c>
      <c r="J18" s="7" t="n">
        <v>0</v>
      </c>
      <c r="K18" s="7" t="n">
        <v>0</v>
      </c>
      <c r="L18" s="6" t="n">
        <v>1725</v>
      </c>
      <c r="M18" s="7" t="n">
        <v>0</v>
      </c>
      <c r="N18" s="6" t="n">
        <v>-431.25</v>
      </c>
      <c r="O18" s="7" t="n">
        <v>0</v>
      </c>
      <c r="P18" s="7" t="n">
        <v>0</v>
      </c>
      <c r="Q18" s="7" t="n">
        <v>0</v>
      </c>
      <c r="R18" s="7" t="n">
        <v>0</v>
      </c>
      <c r="S18" s="6" t="n">
        <v>-431.25</v>
      </c>
      <c r="T18" s="7" t="n">
        <v>0</v>
      </c>
      <c r="U18" s="6" t="n">
        <v>1293.75</v>
      </c>
    </row>
    <row r="19" customFormat="false" ht="15" hidden="true" customHeight="false" outlineLevel="2" collapsed="false">
      <c r="A19" s="2" t="s">
        <v>36</v>
      </c>
      <c r="B19" s="2" t="s">
        <v>25</v>
      </c>
      <c r="C19" s="5" t="n">
        <v>37167</v>
      </c>
      <c r="D19" s="2" t="s">
        <v>37</v>
      </c>
      <c r="E19" s="2" t="s">
        <v>27</v>
      </c>
      <c r="F19" s="6" t="n">
        <v>56926.19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6" t="n">
        <v>56926.19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6" t="n">
        <v>56926.19</v>
      </c>
      <c r="U19" s="6" t="n">
        <v>56926.19</v>
      </c>
    </row>
    <row r="20" customFormat="false" ht="15" hidden="true" customHeight="false" outlineLevel="2" collapsed="false">
      <c r="A20" s="2" t="s">
        <v>38</v>
      </c>
      <c r="B20" s="2" t="s">
        <v>25</v>
      </c>
      <c r="C20" s="5" t="n">
        <v>38520</v>
      </c>
      <c r="D20" s="2" t="s">
        <v>39</v>
      </c>
      <c r="E20" s="2" t="s">
        <v>27</v>
      </c>
      <c r="F20" s="6" t="n">
        <v>75681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6" t="n">
        <v>75681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6" t="n">
        <v>75681</v>
      </c>
      <c r="U20" s="6" t="n">
        <v>75681</v>
      </c>
    </row>
    <row r="21" customFormat="false" ht="15" hidden="true" customHeight="false" outlineLevel="2" collapsed="false">
      <c r="A21" s="2" t="s">
        <v>40</v>
      </c>
      <c r="B21" s="2" t="s">
        <v>25</v>
      </c>
      <c r="C21" s="5" t="n">
        <v>32977</v>
      </c>
      <c r="D21" s="2" t="s">
        <v>41</v>
      </c>
      <c r="E21" s="2" t="s">
        <v>27</v>
      </c>
      <c r="F21" s="6" t="n">
        <v>1605947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6" t="n">
        <v>1605947</v>
      </c>
      <c r="M21" s="6" t="n">
        <v>-1605946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6" t="n">
        <v>-1605946</v>
      </c>
      <c r="T21" s="6" t="n">
        <v>1</v>
      </c>
      <c r="U21" s="6" t="n">
        <v>1</v>
      </c>
    </row>
    <row r="22" customFormat="false" ht="15" hidden="true" customHeight="false" outlineLevel="2" collapsed="false">
      <c r="A22" s="2" t="s">
        <v>42</v>
      </c>
      <c r="B22" s="2" t="s">
        <v>25</v>
      </c>
      <c r="C22" s="5" t="n">
        <v>42764</v>
      </c>
      <c r="D22" s="2" t="s">
        <v>43</v>
      </c>
      <c r="E22" s="2" t="s">
        <v>27</v>
      </c>
      <c r="F22" s="6" t="n">
        <v>232676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6" t="n">
        <v>232676</v>
      </c>
      <c r="M22" s="6" t="n">
        <v>-52880.91</v>
      </c>
      <c r="N22" s="6" t="n">
        <v>-7050.79</v>
      </c>
      <c r="O22" s="7" t="n">
        <v>0</v>
      </c>
      <c r="P22" s="7" t="n">
        <v>0</v>
      </c>
      <c r="Q22" s="7" t="n">
        <v>0</v>
      </c>
      <c r="R22" s="7" t="n">
        <v>0</v>
      </c>
      <c r="S22" s="6" t="n">
        <v>-59931.7</v>
      </c>
      <c r="T22" s="6" t="n">
        <v>179795.09</v>
      </c>
      <c r="U22" s="6" t="n">
        <v>172744.3</v>
      </c>
    </row>
    <row r="23" customFormat="false" ht="15" hidden="true" customHeight="false" outlineLevel="2" collapsed="false">
      <c r="A23" s="2" t="s">
        <v>42</v>
      </c>
      <c r="B23" s="2" t="s">
        <v>30</v>
      </c>
      <c r="C23" s="5" t="n">
        <v>44220</v>
      </c>
      <c r="D23" s="2" t="s">
        <v>44</v>
      </c>
      <c r="E23" s="2" t="s">
        <v>27</v>
      </c>
      <c r="F23" s="6" t="n">
        <v>52248.65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6" t="n">
        <v>52248.65</v>
      </c>
      <c r="M23" s="6" t="n">
        <v>-5541.52</v>
      </c>
      <c r="N23" s="6" t="n">
        <v>-1583.3</v>
      </c>
      <c r="O23" s="7" t="n">
        <v>0</v>
      </c>
      <c r="P23" s="7" t="n">
        <v>0</v>
      </c>
      <c r="Q23" s="7" t="n">
        <v>0</v>
      </c>
      <c r="R23" s="7" t="n">
        <v>0</v>
      </c>
      <c r="S23" s="6" t="n">
        <v>-7124.82</v>
      </c>
      <c r="T23" s="6" t="n">
        <v>46707.13</v>
      </c>
      <c r="U23" s="6" t="n">
        <v>45123.83</v>
      </c>
    </row>
    <row r="24" customFormat="false" ht="15" hidden="true" customHeight="false" outlineLevel="2" collapsed="false">
      <c r="A24" s="2" t="s">
        <v>45</v>
      </c>
      <c r="B24" s="2" t="s">
        <v>25</v>
      </c>
      <c r="C24" s="5" t="n">
        <v>43015</v>
      </c>
      <c r="D24" s="2" t="s">
        <v>43</v>
      </c>
      <c r="E24" s="2" t="s">
        <v>27</v>
      </c>
      <c r="F24" s="6" t="n">
        <v>353510.38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6" t="n">
        <v>353510.38</v>
      </c>
      <c r="M24" s="6" t="n">
        <v>-72308.94</v>
      </c>
      <c r="N24" s="6" t="n">
        <v>-10712.44</v>
      </c>
      <c r="O24" s="7" t="n">
        <v>0</v>
      </c>
      <c r="P24" s="7" t="n">
        <v>0</v>
      </c>
      <c r="Q24" s="7" t="n">
        <v>0</v>
      </c>
      <c r="R24" s="7" t="n">
        <v>0</v>
      </c>
      <c r="S24" s="6" t="n">
        <v>-83021.38</v>
      </c>
      <c r="T24" s="6" t="n">
        <v>281201.44</v>
      </c>
      <c r="U24" s="6" t="n">
        <v>270489</v>
      </c>
    </row>
    <row r="25" customFormat="false" ht="15" hidden="true" customHeight="false" outlineLevel="2" collapsed="false">
      <c r="A25" s="2" t="s">
        <v>46</v>
      </c>
      <c r="B25" s="2" t="s">
        <v>25</v>
      </c>
      <c r="C25" s="5" t="n">
        <v>44882</v>
      </c>
      <c r="D25" s="2" t="s">
        <v>47</v>
      </c>
      <c r="E25" s="2" t="s">
        <v>27</v>
      </c>
      <c r="F25" s="6" t="n">
        <v>427549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6" t="n">
        <v>427549</v>
      </c>
      <c r="M25" s="6" t="n">
        <v>-21593.38</v>
      </c>
      <c r="N25" s="6" t="n">
        <v>-12956.03</v>
      </c>
      <c r="O25" s="7" t="n">
        <v>0</v>
      </c>
      <c r="P25" s="7" t="n">
        <v>0</v>
      </c>
      <c r="Q25" s="7" t="n">
        <v>0</v>
      </c>
      <c r="R25" s="7" t="n">
        <v>0</v>
      </c>
      <c r="S25" s="6" t="n">
        <v>-34549.41</v>
      </c>
      <c r="T25" s="6" t="n">
        <v>405955.62</v>
      </c>
      <c r="U25" s="6" t="n">
        <v>392999.59</v>
      </c>
    </row>
    <row r="26" customFormat="false" ht="15" hidden="true" customHeight="false" outlineLevel="2" collapsed="false">
      <c r="A26" s="2" t="s">
        <v>48</v>
      </c>
      <c r="B26" s="2" t="s">
        <v>25</v>
      </c>
      <c r="C26" s="5" t="n">
        <v>41169</v>
      </c>
      <c r="D26" s="2" t="s">
        <v>49</v>
      </c>
      <c r="E26" s="2" t="s">
        <v>27</v>
      </c>
      <c r="F26" s="6" t="n">
        <v>18224.28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6" t="n">
        <v>18224.28</v>
      </c>
      <c r="M26" s="6" t="n">
        <v>-18223.28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6" t="n">
        <v>-18223.28</v>
      </c>
      <c r="T26" s="6" t="n">
        <v>1</v>
      </c>
      <c r="U26" s="6" t="n">
        <v>1</v>
      </c>
    </row>
    <row r="27" customFormat="false" ht="15" hidden="true" customHeight="false" outlineLevel="2" collapsed="false">
      <c r="A27" s="2" t="s">
        <v>50</v>
      </c>
      <c r="B27" s="2" t="s">
        <v>25</v>
      </c>
      <c r="C27" s="5" t="n">
        <v>44195</v>
      </c>
      <c r="D27" s="2" t="s">
        <v>51</v>
      </c>
      <c r="E27" s="2" t="s">
        <v>27</v>
      </c>
      <c r="F27" s="6" t="n">
        <v>188845.68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6" t="n">
        <v>188845.68</v>
      </c>
      <c r="M27" s="6" t="n">
        <v>-45113.13</v>
      </c>
      <c r="N27" s="6" t="n">
        <v>-12589.72</v>
      </c>
      <c r="O27" s="7" t="n">
        <v>0</v>
      </c>
      <c r="P27" s="7" t="n">
        <v>0</v>
      </c>
      <c r="Q27" s="7" t="n">
        <v>0</v>
      </c>
      <c r="R27" s="7" t="n">
        <v>0</v>
      </c>
      <c r="S27" s="6" t="n">
        <v>-57702.85</v>
      </c>
      <c r="T27" s="6" t="n">
        <v>143732.55</v>
      </c>
      <c r="U27" s="6" t="n">
        <v>131142.83</v>
      </c>
    </row>
    <row r="28" customFormat="false" ht="15" hidden="true" customHeight="false" outlineLevel="2" collapsed="false">
      <c r="A28" s="2" t="s">
        <v>52</v>
      </c>
      <c r="B28" s="2" t="s">
        <v>25</v>
      </c>
      <c r="C28" s="5" t="n">
        <v>44276</v>
      </c>
      <c r="D28" s="2" t="s">
        <v>53</v>
      </c>
      <c r="E28" s="2" t="s">
        <v>27</v>
      </c>
      <c r="F28" s="6" t="n">
        <v>179543</v>
      </c>
      <c r="G28" s="7" t="n">
        <v>0</v>
      </c>
      <c r="H28" s="6" t="n">
        <v>-179543</v>
      </c>
      <c r="I28" s="7" t="n">
        <v>0</v>
      </c>
      <c r="J28" s="7" t="n">
        <v>0</v>
      </c>
      <c r="K28" s="7" t="n">
        <v>0</v>
      </c>
      <c r="L28" s="7" t="n">
        <v>0</v>
      </c>
      <c r="M28" s="6" t="n">
        <v>-59847.67</v>
      </c>
      <c r="N28" s="6" t="n">
        <v>-8977.15</v>
      </c>
      <c r="O28" s="6" t="n">
        <v>68824.82</v>
      </c>
      <c r="P28" s="7" t="n">
        <v>0</v>
      </c>
      <c r="Q28" s="7" t="n">
        <v>0</v>
      </c>
      <c r="R28" s="7" t="n">
        <v>0</v>
      </c>
      <c r="S28" s="7" t="n">
        <v>0</v>
      </c>
      <c r="T28" s="6" t="n">
        <v>119695.33</v>
      </c>
      <c r="U28" s="7" t="n">
        <v>0</v>
      </c>
    </row>
    <row r="29" customFormat="false" ht="15" hidden="true" customHeight="false" outlineLevel="2" collapsed="false">
      <c r="A29" s="2" t="s">
        <v>54</v>
      </c>
      <c r="B29" s="2" t="s">
        <v>25</v>
      </c>
      <c r="C29" s="5" t="n">
        <v>45670</v>
      </c>
      <c r="D29" s="2" t="s">
        <v>55</v>
      </c>
      <c r="E29" s="2" t="s">
        <v>27</v>
      </c>
      <c r="F29" s="7" t="n">
        <v>0</v>
      </c>
      <c r="G29" s="6" t="n">
        <v>184055.1</v>
      </c>
      <c r="H29" s="7" t="n">
        <v>0</v>
      </c>
      <c r="I29" s="7" t="n">
        <v>0</v>
      </c>
      <c r="J29" s="7" t="n">
        <v>0</v>
      </c>
      <c r="K29" s="7" t="n">
        <v>0</v>
      </c>
      <c r="L29" s="6" t="n">
        <v>184055.1</v>
      </c>
      <c r="M29" s="7" t="n">
        <v>0</v>
      </c>
      <c r="N29" s="6" t="n">
        <v>-9202.76</v>
      </c>
      <c r="O29" s="7" t="n">
        <v>0</v>
      </c>
      <c r="P29" s="7" t="n">
        <v>0</v>
      </c>
      <c r="Q29" s="7" t="n">
        <v>0</v>
      </c>
      <c r="R29" s="7" t="n">
        <v>0</v>
      </c>
      <c r="S29" s="6" t="n">
        <v>-9202.76</v>
      </c>
      <c r="T29" s="7" t="n">
        <v>0</v>
      </c>
      <c r="U29" s="6" t="n">
        <v>174852.34</v>
      </c>
    </row>
    <row r="30" customFormat="false" ht="15" hidden="true" customHeight="false" outlineLevel="2" collapsed="false">
      <c r="A30" s="2" t="s">
        <v>56</v>
      </c>
      <c r="B30" s="2" t="s">
        <v>25</v>
      </c>
      <c r="C30" s="5" t="n">
        <v>45714</v>
      </c>
      <c r="D30" s="2" t="s">
        <v>57</v>
      </c>
      <c r="E30" s="2" t="s">
        <v>27</v>
      </c>
      <c r="F30" s="7" t="n">
        <v>0</v>
      </c>
      <c r="G30" s="6" t="n">
        <v>30537.58</v>
      </c>
      <c r="H30" s="7" t="n">
        <v>0</v>
      </c>
      <c r="I30" s="7" t="n">
        <v>0</v>
      </c>
      <c r="J30" s="7" t="n">
        <v>0</v>
      </c>
      <c r="K30" s="7" t="n">
        <v>0</v>
      </c>
      <c r="L30" s="6" t="n">
        <v>30537.58</v>
      </c>
      <c r="M30" s="7" t="n">
        <v>0</v>
      </c>
      <c r="N30" s="6" t="n">
        <v>-848.27</v>
      </c>
      <c r="O30" s="7" t="n">
        <v>0</v>
      </c>
      <c r="P30" s="7" t="n">
        <v>0</v>
      </c>
      <c r="Q30" s="7" t="n">
        <v>0</v>
      </c>
      <c r="R30" s="7" t="n">
        <v>0</v>
      </c>
      <c r="S30" s="6" t="n">
        <v>-848.27</v>
      </c>
      <c r="T30" s="7" t="n">
        <v>0</v>
      </c>
      <c r="U30" s="6" t="n">
        <v>29689.31</v>
      </c>
    </row>
    <row r="31" customFormat="false" ht="15" hidden="true" customHeight="false" outlineLevel="2" collapsed="false">
      <c r="A31" s="2" t="s">
        <v>58</v>
      </c>
      <c r="B31" s="2" t="s">
        <v>25</v>
      </c>
      <c r="C31" s="5" t="n">
        <v>45815</v>
      </c>
      <c r="D31" s="2" t="s">
        <v>59</v>
      </c>
      <c r="E31" s="2" t="s">
        <v>27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6" t="n">
        <v>287247.04</v>
      </c>
      <c r="M31" s="7" t="n">
        <v>0</v>
      </c>
      <c r="N31" s="6" t="n">
        <v>-1595.82</v>
      </c>
      <c r="O31" s="7" t="n">
        <v>0</v>
      </c>
      <c r="P31" s="7" t="n">
        <v>0</v>
      </c>
      <c r="Q31" s="7" t="n">
        <v>0</v>
      </c>
      <c r="R31" s="7" t="n">
        <v>0</v>
      </c>
      <c r="S31" s="6" t="n">
        <v>-1595.82</v>
      </c>
      <c r="T31" s="7" t="n">
        <v>0</v>
      </c>
      <c r="U31" s="6" t="n">
        <v>285651.22</v>
      </c>
    </row>
    <row r="32" customFormat="false" ht="15" hidden="true" customHeight="false" outlineLevel="2" collapsed="false">
      <c r="A32" s="2" t="s">
        <v>60</v>
      </c>
      <c r="B32" s="2" t="s">
        <v>25</v>
      </c>
      <c r="C32" s="5" t="n">
        <v>40888</v>
      </c>
      <c r="D32" s="2" t="s">
        <v>61</v>
      </c>
      <c r="E32" s="2" t="s">
        <v>27</v>
      </c>
      <c r="F32" s="6" t="n">
        <v>74802.55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6" t="n">
        <v>74802.55</v>
      </c>
      <c r="M32" s="6" t="n">
        <v>-74801.55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6" t="n">
        <v>-74801.55</v>
      </c>
      <c r="T32" s="6" t="n">
        <v>1</v>
      </c>
      <c r="U32" s="6" t="n">
        <v>1</v>
      </c>
    </row>
    <row r="33" customFormat="false" ht="15" hidden="true" customHeight="false" outlineLevel="2" collapsed="false">
      <c r="A33" s="2" t="s">
        <v>62</v>
      </c>
      <c r="B33" s="2" t="s">
        <v>25</v>
      </c>
      <c r="C33" s="5" t="n">
        <v>41827</v>
      </c>
      <c r="D33" s="2" t="s">
        <v>63</v>
      </c>
      <c r="E33" s="2" t="s">
        <v>27</v>
      </c>
      <c r="F33" s="6" t="n">
        <v>23389.29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6" t="n">
        <v>23389.29</v>
      </c>
      <c r="M33" s="6" t="n">
        <v>-15592.86</v>
      </c>
      <c r="N33" s="6" t="n">
        <v>-1559.29</v>
      </c>
      <c r="O33" s="7" t="n">
        <v>0</v>
      </c>
      <c r="P33" s="7" t="n">
        <v>0</v>
      </c>
      <c r="Q33" s="7" t="n">
        <v>0</v>
      </c>
      <c r="R33" s="7" t="n">
        <v>0</v>
      </c>
      <c r="S33" s="6" t="n">
        <v>-17152.15</v>
      </c>
      <c r="T33" s="6" t="n">
        <v>7796.43</v>
      </c>
      <c r="U33" s="6" t="n">
        <v>6237.14</v>
      </c>
    </row>
    <row r="34" customFormat="false" ht="15" hidden="true" customHeight="false" outlineLevel="2" collapsed="false">
      <c r="A34" s="2" t="s">
        <v>64</v>
      </c>
      <c r="B34" s="2" t="s">
        <v>25</v>
      </c>
      <c r="C34" s="5" t="n">
        <v>41976</v>
      </c>
      <c r="D34" s="2" t="s">
        <v>65</v>
      </c>
      <c r="E34" s="2" t="s">
        <v>27</v>
      </c>
      <c r="F34" s="6" t="n">
        <v>5418.06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6" t="n">
        <v>5418.06</v>
      </c>
      <c r="M34" s="6" t="n">
        <v>-5417.06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6" t="n">
        <v>-5417.06</v>
      </c>
      <c r="T34" s="6" t="n">
        <v>1</v>
      </c>
      <c r="U34" s="6" t="n">
        <v>1</v>
      </c>
    </row>
    <row r="35" customFormat="false" ht="15" hidden="true" customHeight="false" outlineLevel="2" collapsed="false">
      <c r="A35" s="2" t="s">
        <v>64</v>
      </c>
      <c r="B35" s="2" t="s">
        <v>30</v>
      </c>
      <c r="C35" s="5" t="n">
        <v>44749</v>
      </c>
      <c r="D35" s="2" t="s">
        <v>66</v>
      </c>
      <c r="E35" s="2" t="s">
        <v>27</v>
      </c>
      <c r="F35" s="6" t="n">
        <v>1027.22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6" t="n">
        <v>1027.22</v>
      </c>
      <c r="M35" s="6" t="n">
        <v>-256.81</v>
      </c>
      <c r="N35" s="6" t="n">
        <v>-128.4</v>
      </c>
      <c r="O35" s="7" t="n">
        <v>0</v>
      </c>
      <c r="P35" s="7" t="n">
        <v>0</v>
      </c>
      <c r="Q35" s="7" t="n">
        <v>0</v>
      </c>
      <c r="R35" s="7" t="n">
        <v>0</v>
      </c>
      <c r="S35" s="6" t="n">
        <v>-385.21</v>
      </c>
      <c r="T35" s="6" t="n">
        <v>770.41</v>
      </c>
      <c r="U35" s="6" t="n">
        <v>642.01</v>
      </c>
    </row>
    <row r="36" customFormat="false" ht="15" hidden="true" customHeight="false" outlineLevel="2" collapsed="false">
      <c r="A36" s="2" t="s">
        <v>67</v>
      </c>
      <c r="B36" s="2" t="s">
        <v>25</v>
      </c>
      <c r="C36" s="5" t="n">
        <v>42749</v>
      </c>
      <c r="D36" s="2" t="s">
        <v>68</v>
      </c>
      <c r="E36" s="2" t="s">
        <v>27</v>
      </c>
      <c r="F36" s="6" t="n">
        <v>4499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6" t="n">
        <v>4499</v>
      </c>
      <c r="M36" s="6" t="n">
        <v>-3374.25</v>
      </c>
      <c r="N36" s="6" t="n">
        <v>-449.9</v>
      </c>
      <c r="O36" s="7" t="n">
        <v>0</v>
      </c>
      <c r="P36" s="7" t="n">
        <v>0</v>
      </c>
      <c r="Q36" s="7" t="n">
        <v>0</v>
      </c>
      <c r="R36" s="7" t="n">
        <v>0</v>
      </c>
      <c r="S36" s="6" t="n">
        <v>-3824.15</v>
      </c>
      <c r="T36" s="6" t="n">
        <v>1124.75</v>
      </c>
      <c r="U36" s="6" t="n">
        <v>674.85</v>
      </c>
    </row>
    <row r="37" customFormat="false" ht="15" hidden="true" customHeight="false" outlineLevel="2" collapsed="false">
      <c r="A37" s="2" t="s">
        <v>69</v>
      </c>
      <c r="B37" s="2" t="s">
        <v>25</v>
      </c>
      <c r="C37" s="5" t="n">
        <v>43890</v>
      </c>
      <c r="D37" s="2" t="s">
        <v>70</v>
      </c>
      <c r="E37" s="2" t="s">
        <v>27</v>
      </c>
      <c r="F37" s="6" t="n">
        <v>59399.74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6" t="n">
        <v>59399.74</v>
      </c>
      <c r="M37" s="6" t="n">
        <v>-52469.77</v>
      </c>
      <c r="N37" s="6" t="n">
        <v>-6928.97</v>
      </c>
      <c r="O37" s="7" t="n">
        <v>0</v>
      </c>
      <c r="P37" s="7" t="n">
        <v>0</v>
      </c>
      <c r="Q37" s="7" t="n">
        <v>0</v>
      </c>
      <c r="R37" s="7" t="n">
        <v>0</v>
      </c>
      <c r="S37" s="6" t="n">
        <v>-59398.74</v>
      </c>
      <c r="T37" s="6" t="n">
        <v>6929.97</v>
      </c>
      <c r="U37" s="6" t="n">
        <v>1</v>
      </c>
    </row>
    <row r="38" customFormat="false" ht="15" hidden="true" customHeight="false" outlineLevel="2" collapsed="false">
      <c r="A38" s="2" t="s">
        <v>71</v>
      </c>
      <c r="B38" s="2" t="s">
        <v>25</v>
      </c>
      <c r="C38" s="5" t="n">
        <v>45523</v>
      </c>
      <c r="D38" s="2" t="s">
        <v>68</v>
      </c>
      <c r="E38" s="2" t="s">
        <v>27</v>
      </c>
      <c r="F38" s="7" t="n">
        <v>0</v>
      </c>
      <c r="G38" s="6" t="n">
        <v>1599.77</v>
      </c>
      <c r="H38" s="7" t="n">
        <v>0</v>
      </c>
      <c r="I38" s="7" t="n">
        <v>0</v>
      </c>
      <c r="J38" s="7" t="n">
        <v>0</v>
      </c>
      <c r="K38" s="7" t="n">
        <v>0</v>
      </c>
      <c r="L38" s="6" t="n">
        <v>1599.77</v>
      </c>
      <c r="M38" s="7" t="n">
        <v>0</v>
      </c>
      <c r="N38" s="6" t="n">
        <v>-183.31</v>
      </c>
      <c r="O38" s="7" t="n">
        <v>0</v>
      </c>
      <c r="P38" s="7" t="n">
        <v>0</v>
      </c>
      <c r="Q38" s="7" t="n">
        <v>0</v>
      </c>
      <c r="R38" s="7" t="n">
        <v>0</v>
      </c>
      <c r="S38" s="6" t="n">
        <v>-183.31</v>
      </c>
      <c r="T38" s="7" t="n">
        <v>0</v>
      </c>
      <c r="U38" s="6" t="n">
        <v>1416.46</v>
      </c>
    </row>
    <row r="39" customFormat="false" ht="15" hidden="true" customHeight="false" outlineLevel="2" collapsed="false">
      <c r="A39" s="2" t="s">
        <v>72</v>
      </c>
      <c r="B39" s="2" t="s">
        <v>25</v>
      </c>
      <c r="C39" s="5" t="n">
        <v>39817</v>
      </c>
      <c r="D39" s="2" t="s">
        <v>73</v>
      </c>
      <c r="E39" s="2" t="s">
        <v>27</v>
      </c>
      <c r="F39" s="6" t="n">
        <v>2194.59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6" t="n">
        <v>2194.59</v>
      </c>
      <c r="M39" s="6" t="n">
        <v>-2193.59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6" t="n">
        <v>-2193.59</v>
      </c>
      <c r="T39" s="6" t="n">
        <v>1</v>
      </c>
      <c r="U39" s="6" t="n">
        <v>1</v>
      </c>
    </row>
    <row r="40" customFormat="false" ht="15" hidden="true" customHeight="false" outlineLevel="2" collapsed="false">
      <c r="A40" s="2" t="s">
        <v>74</v>
      </c>
      <c r="B40" s="2" t="s">
        <v>25</v>
      </c>
      <c r="C40" s="5" t="n">
        <v>43353</v>
      </c>
      <c r="D40" s="2" t="s">
        <v>75</v>
      </c>
      <c r="E40" s="2" t="s">
        <v>27</v>
      </c>
      <c r="F40" s="6" t="n">
        <v>1172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6" t="n">
        <v>1172</v>
      </c>
      <c r="M40" s="6" t="n">
        <v>-525.9</v>
      </c>
      <c r="N40" s="6" t="n">
        <v>-90.15</v>
      </c>
      <c r="O40" s="7" t="n">
        <v>0</v>
      </c>
      <c r="P40" s="7" t="n">
        <v>0</v>
      </c>
      <c r="Q40" s="7" t="n">
        <v>0</v>
      </c>
      <c r="R40" s="7" t="n">
        <v>0</v>
      </c>
      <c r="S40" s="6" t="n">
        <v>-616.05</v>
      </c>
      <c r="T40" s="6" t="n">
        <v>646.1</v>
      </c>
      <c r="U40" s="6" t="n">
        <v>555.95</v>
      </c>
    </row>
    <row r="41" customFormat="false" ht="15" hidden="true" customHeight="false" outlineLevel="2" collapsed="false">
      <c r="A41" s="2" t="s">
        <v>76</v>
      </c>
      <c r="B41" s="2" t="s">
        <v>25</v>
      </c>
      <c r="C41" s="5" t="n">
        <v>45685</v>
      </c>
      <c r="D41" s="2" t="s">
        <v>77</v>
      </c>
      <c r="E41" s="2" t="s">
        <v>27</v>
      </c>
      <c r="F41" s="7" t="n">
        <v>0</v>
      </c>
      <c r="G41" s="6" t="n">
        <v>2531.78</v>
      </c>
      <c r="H41" s="7" t="n">
        <v>0</v>
      </c>
      <c r="I41" s="7" t="n">
        <v>0</v>
      </c>
      <c r="J41" s="7" t="n">
        <v>0</v>
      </c>
      <c r="K41" s="7" t="n">
        <v>0</v>
      </c>
      <c r="L41" s="6" t="n">
        <v>2531.78</v>
      </c>
      <c r="M41" s="7" t="n">
        <v>0</v>
      </c>
      <c r="N41" s="6" t="n">
        <v>-97.38</v>
      </c>
      <c r="O41" s="7" t="n">
        <v>0</v>
      </c>
      <c r="P41" s="7" t="n">
        <v>0</v>
      </c>
      <c r="Q41" s="7" t="n">
        <v>0</v>
      </c>
      <c r="R41" s="7" t="n">
        <v>0</v>
      </c>
      <c r="S41" s="6" t="n">
        <v>-97.38</v>
      </c>
      <c r="T41" s="7" t="n">
        <v>0</v>
      </c>
      <c r="U41" s="6" t="n">
        <v>2434.4</v>
      </c>
    </row>
    <row r="42" customFormat="false" ht="15" hidden="true" customHeight="false" outlineLevel="2" collapsed="false">
      <c r="A42" s="2" t="s">
        <v>78</v>
      </c>
      <c r="B42" s="2" t="s">
        <v>25</v>
      </c>
      <c r="C42" s="5" t="n">
        <v>43216</v>
      </c>
      <c r="D42" s="2" t="s">
        <v>79</v>
      </c>
      <c r="E42" s="2" t="s">
        <v>27</v>
      </c>
      <c r="F42" s="6" t="n">
        <v>73720.51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6" t="n">
        <v>73720.51</v>
      </c>
      <c r="M42" s="6" t="n">
        <v>-73719.51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6" t="n">
        <v>-73719.51</v>
      </c>
      <c r="T42" s="6" t="n">
        <v>1</v>
      </c>
      <c r="U42" s="6" t="n">
        <v>1</v>
      </c>
    </row>
    <row r="43" customFormat="false" ht="15" hidden="true" customHeight="false" outlineLevel="2" collapsed="false">
      <c r="A43" s="2" t="s">
        <v>80</v>
      </c>
      <c r="B43" s="2" t="s">
        <v>25</v>
      </c>
      <c r="C43" s="5" t="n">
        <v>43846</v>
      </c>
      <c r="D43" s="2" t="s">
        <v>81</v>
      </c>
      <c r="E43" s="2" t="s">
        <v>27</v>
      </c>
      <c r="F43" s="6" t="n">
        <v>30445.89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30445.89</v>
      </c>
      <c r="M43" s="6" t="n">
        <v>-22834.42</v>
      </c>
      <c r="N43" s="6" t="n">
        <v>-5074.31</v>
      </c>
      <c r="O43" s="7" t="n">
        <v>0</v>
      </c>
      <c r="P43" s="7" t="n">
        <v>0</v>
      </c>
      <c r="Q43" s="7" t="n">
        <v>0</v>
      </c>
      <c r="R43" s="7" t="n">
        <v>0</v>
      </c>
      <c r="S43" s="6" t="n">
        <v>-27908.73</v>
      </c>
      <c r="T43" s="6" t="n">
        <v>7611.47</v>
      </c>
      <c r="U43" s="6" t="n">
        <v>2537.16</v>
      </c>
    </row>
    <row r="44" customFormat="false" ht="15" hidden="true" customHeight="false" outlineLevel="2" collapsed="false">
      <c r="A44" s="2" t="s">
        <v>82</v>
      </c>
      <c r="B44" s="2" t="s">
        <v>25</v>
      </c>
      <c r="C44" s="5" t="n">
        <v>45662</v>
      </c>
      <c r="D44" s="2" t="s">
        <v>83</v>
      </c>
      <c r="E44" s="2" t="s">
        <v>27</v>
      </c>
      <c r="F44" s="7" t="n">
        <v>0</v>
      </c>
      <c r="G44" s="6" t="n">
        <v>53629.78</v>
      </c>
      <c r="H44" s="7" t="n">
        <v>0</v>
      </c>
      <c r="I44" s="7" t="n">
        <v>0</v>
      </c>
      <c r="J44" s="7" t="n">
        <v>0</v>
      </c>
      <c r="K44" s="7" t="n">
        <v>0</v>
      </c>
      <c r="L44" s="6" t="n">
        <v>53629.78</v>
      </c>
      <c r="M44" s="7" t="n">
        <v>0</v>
      </c>
      <c r="N44" s="6" t="n">
        <v>-4469.15</v>
      </c>
      <c r="O44" s="7" t="n">
        <v>0</v>
      </c>
      <c r="P44" s="7" t="n">
        <v>0</v>
      </c>
      <c r="Q44" s="7" t="n">
        <v>0</v>
      </c>
      <c r="R44" s="7" t="n">
        <v>0</v>
      </c>
      <c r="S44" s="6" t="n">
        <v>-4469.15</v>
      </c>
      <c r="T44" s="7" t="n">
        <v>0</v>
      </c>
      <c r="U44" s="6" t="n">
        <v>49160.63</v>
      </c>
    </row>
    <row r="45" customFormat="false" ht="15" hidden="true" customHeight="false" outlineLevel="2" collapsed="false">
      <c r="A45" s="2" t="s">
        <v>84</v>
      </c>
      <c r="B45" s="2" t="s">
        <v>25</v>
      </c>
      <c r="C45" s="5" t="n">
        <v>40509</v>
      </c>
      <c r="D45" s="2" t="s">
        <v>85</v>
      </c>
      <c r="E45" s="2" t="s">
        <v>27</v>
      </c>
      <c r="F45" s="6" t="n">
        <v>30302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6" t="n">
        <v>30302</v>
      </c>
      <c r="M45" s="6" t="n">
        <v>-30301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6" t="n">
        <v>-30301</v>
      </c>
      <c r="T45" s="6" t="n">
        <v>1</v>
      </c>
      <c r="U45" s="6" t="n">
        <v>1</v>
      </c>
    </row>
    <row r="46" customFormat="false" ht="15" hidden="true" customHeight="false" outlineLevel="2" collapsed="false">
      <c r="A46" s="2" t="s">
        <v>86</v>
      </c>
      <c r="B46" s="2" t="s">
        <v>25</v>
      </c>
      <c r="C46" s="5" t="n">
        <v>42118</v>
      </c>
      <c r="D46" s="2" t="s">
        <v>87</v>
      </c>
      <c r="E46" s="2" t="s">
        <v>27</v>
      </c>
      <c r="F46" s="6" t="n">
        <v>38430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6" t="n">
        <v>38430</v>
      </c>
      <c r="M46" s="6" t="n">
        <v>-38429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6" t="n">
        <v>-38429</v>
      </c>
      <c r="T46" s="6" t="n">
        <v>1</v>
      </c>
      <c r="U46" s="6" t="n">
        <v>1</v>
      </c>
    </row>
    <row r="47" customFormat="false" ht="15" hidden="true" customHeight="false" outlineLevel="2" collapsed="false">
      <c r="A47" s="2" t="s">
        <v>88</v>
      </c>
      <c r="B47" s="2" t="s">
        <v>25</v>
      </c>
      <c r="C47" s="5" t="n">
        <v>42351</v>
      </c>
      <c r="D47" s="2" t="s">
        <v>89</v>
      </c>
      <c r="E47" s="2" t="s">
        <v>27</v>
      </c>
      <c r="F47" s="6" t="n">
        <v>135776.17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135776.17</v>
      </c>
      <c r="M47" s="6" t="n">
        <v>-129490.24</v>
      </c>
      <c r="N47" s="6" t="n">
        <v>-6284.93</v>
      </c>
      <c r="O47" s="7" t="n">
        <v>0</v>
      </c>
      <c r="P47" s="7" t="n">
        <v>0</v>
      </c>
      <c r="Q47" s="7" t="n">
        <v>0</v>
      </c>
      <c r="R47" s="7" t="n">
        <v>0</v>
      </c>
      <c r="S47" s="6" t="n">
        <v>-135775.17</v>
      </c>
      <c r="T47" s="6" t="n">
        <v>6285.93</v>
      </c>
      <c r="U47" s="6" t="n">
        <v>1</v>
      </c>
    </row>
    <row r="48" customFormat="false" ht="15" hidden="true" customHeight="false" outlineLevel="2" collapsed="false">
      <c r="A48" s="2" t="s">
        <v>88</v>
      </c>
      <c r="B48" s="2" t="s">
        <v>30</v>
      </c>
      <c r="C48" s="5" t="n">
        <v>43064</v>
      </c>
      <c r="D48" s="2" t="s">
        <v>90</v>
      </c>
      <c r="E48" s="2" t="s">
        <v>27</v>
      </c>
      <c r="F48" s="6" t="n">
        <v>28748.62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6" t="n">
        <v>28748.62</v>
      </c>
      <c r="M48" s="6" t="n">
        <v>-21295.27</v>
      </c>
      <c r="N48" s="6" t="n">
        <v>-3194.3</v>
      </c>
      <c r="O48" s="7" t="n">
        <v>0</v>
      </c>
      <c r="P48" s="7" t="n">
        <v>0</v>
      </c>
      <c r="Q48" s="7" t="n">
        <v>0</v>
      </c>
      <c r="R48" s="7" t="n">
        <v>0</v>
      </c>
      <c r="S48" s="6" t="n">
        <v>-24489.57</v>
      </c>
      <c r="T48" s="6" t="n">
        <v>7453.35</v>
      </c>
      <c r="U48" s="6" t="n">
        <v>4259.05</v>
      </c>
    </row>
    <row r="49" customFormat="false" ht="15" hidden="true" customHeight="false" outlineLevel="2" collapsed="false">
      <c r="A49" s="2" t="s">
        <v>91</v>
      </c>
      <c r="B49" s="2" t="s">
        <v>25</v>
      </c>
      <c r="C49" s="5" t="n">
        <v>43133</v>
      </c>
      <c r="D49" s="2" t="s">
        <v>92</v>
      </c>
      <c r="E49" s="2" t="s">
        <v>27</v>
      </c>
      <c r="F49" s="6" t="n">
        <v>106085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106085</v>
      </c>
      <c r="M49" s="6" t="n">
        <v>-75634.68</v>
      </c>
      <c r="N49" s="6" t="n">
        <v>-11787.22</v>
      </c>
      <c r="O49" s="7" t="n">
        <v>0</v>
      </c>
      <c r="P49" s="7" t="n">
        <v>0</v>
      </c>
      <c r="Q49" s="7" t="n">
        <v>0</v>
      </c>
      <c r="R49" s="7" t="n">
        <v>0</v>
      </c>
      <c r="S49" s="6" t="n">
        <v>-87421.9</v>
      </c>
      <c r="T49" s="6" t="n">
        <v>30450.32</v>
      </c>
      <c r="U49" s="6" t="n">
        <v>18663.1</v>
      </c>
    </row>
    <row r="50" customFormat="false" ht="15" hidden="true" customHeight="false" outlineLevel="2" collapsed="false">
      <c r="A50" s="2" t="s">
        <v>91</v>
      </c>
      <c r="B50" s="2" t="s">
        <v>30</v>
      </c>
      <c r="C50" s="5" t="n">
        <v>44344</v>
      </c>
      <c r="D50" s="2" t="s">
        <v>93</v>
      </c>
      <c r="E50" s="2" t="s">
        <v>27</v>
      </c>
      <c r="F50" s="6" t="n">
        <v>20019.53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6" t="n">
        <v>20019.53</v>
      </c>
      <c r="M50" s="6" t="n">
        <v>-7043.91</v>
      </c>
      <c r="N50" s="6" t="n">
        <v>-2224.39</v>
      </c>
      <c r="O50" s="7" t="n">
        <v>0</v>
      </c>
      <c r="P50" s="7" t="n">
        <v>0</v>
      </c>
      <c r="Q50" s="7" t="n">
        <v>0</v>
      </c>
      <c r="R50" s="7" t="n">
        <v>0</v>
      </c>
      <c r="S50" s="6" t="n">
        <v>-9268.3</v>
      </c>
      <c r="T50" s="6" t="n">
        <v>12975.62</v>
      </c>
      <c r="U50" s="6" t="n">
        <v>10751.23</v>
      </c>
    </row>
    <row r="51" customFormat="false" ht="15" hidden="true" customHeight="false" outlineLevel="2" collapsed="false">
      <c r="A51" s="2" t="s">
        <v>94</v>
      </c>
      <c r="B51" s="2" t="s">
        <v>25</v>
      </c>
      <c r="C51" s="5" t="n">
        <v>40980</v>
      </c>
      <c r="D51" s="2" t="s">
        <v>95</v>
      </c>
      <c r="E51" s="2" t="s">
        <v>27</v>
      </c>
      <c r="F51" s="6" t="n">
        <v>38315.34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6" t="n">
        <v>38315.34</v>
      </c>
      <c r="M51" s="6" t="n">
        <v>-38314.34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6" t="n">
        <v>-38314.34</v>
      </c>
      <c r="T51" s="6" t="n">
        <v>1</v>
      </c>
      <c r="U51" s="6" t="n">
        <v>1</v>
      </c>
    </row>
    <row r="52" customFormat="false" ht="15" hidden="true" customHeight="false" outlineLevel="2" collapsed="false">
      <c r="A52" s="2" t="s">
        <v>96</v>
      </c>
      <c r="B52" s="2" t="s">
        <v>25</v>
      </c>
      <c r="C52" s="5" t="n">
        <v>41942</v>
      </c>
      <c r="D52" s="2" t="s">
        <v>97</v>
      </c>
      <c r="E52" s="2" t="s">
        <v>27</v>
      </c>
      <c r="F52" s="6" t="n">
        <v>28552.19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6" t="n">
        <v>28552.19</v>
      </c>
      <c r="M52" s="6" t="n">
        <v>-28551.19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6" t="n">
        <v>-28551.19</v>
      </c>
      <c r="T52" s="6" t="n">
        <v>1</v>
      </c>
      <c r="U52" s="6" t="n">
        <v>1</v>
      </c>
    </row>
    <row r="53" customFormat="false" ht="15" hidden="true" customHeight="false" outlineLevel="2" collapsed="false">
      <c r="A53" s="2" t="s">
        <v>98</v>
      </c>
      <c r="B53" s="2" t="s">
        <v>25</v>
      </c>
      <c r="C53" s="5" t="n">
        <v>43845</v>
      </c>
      <c r="D53" s="2" t="s">
        <v>99</v>
      </c>
      <c r="E53" s="2" t="s">
        <v>27</v>
      </c>
      <c r="F53" s="6" t="n">
        <v>1144.6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6" t="n">
        <v>1144.6</v>
      </c>
      <c r="M53" s="6" t="n">
        <v>-1143.6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6" t="n">
        <v>-1143.6</v>
      </c>
      <c r="T53" s="6" t="n">
        <v>1</v>
      </c>
      <c r="U53" s="6" t="n">
        <v>1</v>
      </c>
    </row>
    <row r="54" customFormat="false" ht="15" hidden="true" customHeight="false" outlineLevel="2" collapsed="false">
      <c r="A54" s="2" t="s">
        <v>98</v>
      </c>
      <c r="B54" s="2" t="s">
        <v>30</v>
      </c>
      <c r="C54" s="5" t="n">
        <v>44637</v>
      </c>
      <c r="D54" s="2" t="s">
        <v>100</v>
      </c>
      <c r="E54" s="2" t="s">
        <v>27</v>
      </c>
      <c r="F54" s="6" t="n">
        <v>82.52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6" t="n">
        <v>82.52</v>
      </c>
      <c r="M54" s="6" t="n">
        <v>-64.18</v>
      </c>
      <c r="N54" s="6" t="n">
        <v>-17.34</v>
      </c>
      <c r="O54" s="7" t="n">
        <v>0</v>
      </c>
      <c r="P54" s="7" t="n">
        <v>0</v>
      </c>
      <c r="Q54" s="7" t="n">
        <v>0</v>
      </c>
      <c r="R54" s="7" t="n">
        <v>0</v>
      </c>
      <c r="S54" s="6" t="n">
        <v>-81.52</v>
      </c>
      <c r="T54" s="6" t="n">
        <v>18.34</v>
      </c>
      <c r="U54" s="6" t="n">
        <v>1</v>
      </c>
    </row>
    <row r="55" customFormat="false" ht="15" hidden="true" customHeight="false" outlineLevel="2" collapsed="false">
      <c r="A55" s="2" t="s">
        <v>101</v>
      </c>
      <c r="B55" s="2" t="s">
        <v>25</v>
      </c>
      <c r="C55" s="5" t="n">
        <v>44115</v>
      </c>
      <c r="D55" s="2" t="s">
        <v>102</v>
      </c>
      <c r="E55" s="2" t="s">
        <v>27</v>
      </c>
      <c r="F55" s="6" t="n">
        <v>1246.11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6" t="n">
        <v>1246.11</v>
      </c>
      <c r="M55" s="6" t="n">
        <v>-1245.11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6" t="n">
        <v>-1245.11</v>
      </c>
      <c r="T55" s="6" t="n">
        <v>1</v>
      </c>
      <c r="U55" s="6" t="n">
        <v>1</v>
      </c>
    </row>
    <row r="56" customFormat="false" ht="15" hidden="true" customHeight="false" outlineLevel="2" collapsed="false">
      <c r="A56" s="2" t="s">
        <v>103</v>
      </c>
      <c r="B56" s="2" t="s">
        <v>25</v>
      </c>
      <c r="C56" s="5" t="n">
        <v>45121</v>
      </c>
      <c r="D56" s="2" t="s">
        <v>104</v>
      </c>
      <c r="E56" s="2" t="s">
        <v>27</v>
      </c>
      <c r="F56" s="6" t="n">
        <v>442.8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6" t="n">
        <v>442.8</v>
      </c>
      <c r="M56" s="6" t="n">
        <v>-442.8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6" t="n">
        <v>-442.8</v>
      </c>
      <c r="T56" s="7" t="n">
        <v>0</v>
      </c>
      <c r="U56" s="7" t="n">
        <v>0</v>
      </c>
    </row>
    <row r="57" customFormat="false" ht="15" hidden="true" customHeight="false" outlineLevel="2" collapsed="false">
      <c r="A57" s="2" t="s">
        <v>105</v>
      </c>
      <c r="B57" s="2" t="s">
        <v>25</v>
      </c>
      <c r="C57" s="5" t="n">
        <v>45628</v>
      </c>
      <c r="D57" s="2" t="s">
        <v>106</v>
      </c>
      <c r="E57" s="2" t="s">
        <v>27</v>
      </c>
      <c r="F57" s="7" t="n">
        <v>0</v>
      </c>
      <c r="G57" s="6" t="n">
        <v>783</v>
      </c>
      <c r="H57" s="7" t="n">
        <v>0</v>
      </c>
      <c r="I57" s="7" t="n">
        <v>0</v>
      </c>
      <c r="J57" s="7" t="n">
        <v>0</v>
      </c>
      <c r="K57" s="7" t="n">
        <v>0</v>
      </c>
      <c r="L57" s="6" t="n">
        <v>783</v>
      </c>
      <c r="M57" s="7" t="n">
        <v>0</v>
      </c>
      <c r="N57" s="6" t="n">
        <v>-783</v>
      </c>
      <c r="O57" s="7" t="n">
        <v>0</v>
      </c>
      <c r="P57" s="7" t="n">
        <v>0</v>
      </c>
      <c r="Q57" s="7" t="n">
        <v>0</v>
      </c>
      <c r="R57" s="7" t="n">
        <v>0</v>
      </c>
      <c r="S57" s="6" t="n">
        <v>-783</v>
      </c>
      <c r="T57" s="7" t="n">
        <v>0</v>
      </c>
      <c r="U57" s="7" t="n">
        <v>0</v>
      </c>
    </row>
    <row r="58" customFormat="false" ht="15" hidden="true" customHeight="false" outlineLevel="2" collapsed="false">
      <c r="A58" s="2" t="s">
        <v>107</v>
      </c>
      <c r="B58" s="2" t="s">
        <v>25</v>
      </c>
      <c r="C58" s="5" t="n">
        <v>45438</v>
      </c>
      <c r="D58" s="2" t="s">
        <v>108</v>
      </c>
      <c r="E58" s="2" t="s">
        <v>27</v>
      </c>
      <c r="F58" s="6" t="n">
        <v>94112.04</v>
      </c>
      <c r="G58" s="6" t="n">
        <v>193135</v>
      </c>
      <c r="H58" s="7" t="n">
        <v>0</v>
      </c>
      <c r="I58" s="6" t="n">
        <v>-287247.04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6" t="n">
        <v>94112.04</v>
      </c>
      <c r="U58" s="7" t="n">
        <v>0</v>
      </c>
    </row>
    <row r="59" customFormat="false" ht="15" hidden="true" customHeight="false" outlineLevel="2" collapsed="false">
      <c r="A59" s="2" t="s">
        <v>109</v>
      </c>
      <c r="B59" s="2" t="s">
        <v>25</v>
      </c>
      <c r="C59" s="5" t="n">
        <v>40836</v>
      </c>
      <c r="D59" s="2" t="s">
        <v>110</v>
      </c>
      <c r="E59" s="2" t="s">
        <v>27</v>
      </c>
      <c r="F59" s="6" t="n">
        <v>41772.62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41772.62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6" t="n">
        <v>41772.62</v>
      </c>
      <c r="U59" s="6" t="n">
        <v>41772.62</v>
      </c>
    </row>
    <row r="60" customFormat="false" ht="15" hidden="true" customHeight="false" outlineLevel="2" collapsed="false">
      <c r="A60" s="2" t="s">
        <v>111</v>
      </c>
      <c r="B60" s="2" t="s">
        <v>25</v>
      </c>
      <c r="C60" s="5" t="n">
        <v>40966</v>
      </c>
      <c r="D60" s="2" t="s">
        <v>110</v>
      </c>
      <c r="E60" s="2" t="s">
        <v>27</v>
      </c>
      <c r="F60" s="6" t="n">
        <v>2056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6" t="n">
        <v>2056</v>
      </c>
      <c r="M60" s="6" t="n">
        <v>-616.8</v>
      </c>
      <c r="N60" s="7" t="n">
        <v>0</v>
      </c>
      <c r="O60" s="7" t="n">
        <v>0</v>
      </c>
      <c r="P60" s="7" t="n">
        <v>0</v>
      </c>
      <c r="Q60" s="7" t="n">
        <v>0</v>
      </c>
      <c r="R60" s="6" t="n">
        <v>308.4</v>
      </c>
      <c r="S60" s="6" t="n">
        <v>-308.4</v>
      </c>
      <c r="T60" s="6" t="n">
        <v>1439.2</v>
      </c>
      <c r="U60" s="6" t="n">
        <v>1747.6</v>
      </c>
    </row>
    <row r="61" customFormat="false" ht="15" hidden="true" customHeight="false" outlineLevel="2" collapsed="false">
      <c r="A61" s="2" t="s">
        <v>112</v>
      </c>
      <c r="B61" s="2" t="s">
        <v>25</v>
      </c>
      <c r="C61" s="5" t="n">
        <v>41281</v>
      </c>
      <c r="D61" s="2" t="s">
        <v>113</v>
      </c>
      <c r="E61" s="2" t="s">
        <v>27</v>
      </c>
      <c r="F61" s="6" t="n">
        <v>134447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6" t="n">
        <v>134447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6" t="n">
        <v>134447</v>
      </c>
      <c r="U61" s="6" t="n">
        <v>134447</v>
      </c>
    </row>
    <row r="62" customFormat="false" ht="15" hidden="false" customHeight="false" outlineLevel="0" collapsed="false">
      <c r="A62" s="8" t="s">
        <v>114</v>
      </c>
      <c r="B62" s="8"/>
      <c r="C62" s="8"/>
      <c r="D62" s="8"/>
      <c r="E62" s="8"/>
      <c r="F62" s="9" t="n">
        <v>4407179.49</v>
      </c>
      <c r="G62" s="9" t="n">
        <v>467997.01</v>
      </c>
      <c r="H62" s="9" t="n">
        <v>-179543</v>
      </c>
      <c r="I62" s="9" t="n">
        <v>-287247.04</v>
      </c>
      <c r="J62" s="10" t="n">
        <v>0</v>
      </c>
      <c r="K62" s="10" t="n">
        <v>0</v>
      </c>
      <c r="L62" s="9" t="n">
        <v>4695633.5</v>
      </c>
      <c r="M62" s="9" t="n">
        <v>-2740974.75</v>
      </c>
      <c r="N62" s="9" t="n">
        <v>-111676.65</v>
      </c>
      <c r="O62" s="9" t="n">
        <v>68824.82</v>
      </c>
      <c r="P62" s="10" t="n">
        <v>0</v>
      </c>
      <c r="Q62" s="10" t="n">
        <v>0</v>
      </c>
      <c r="R62" s="9" t="n">
        <v>308.4</v>
      </c>
      <c r="S62" s="9" t="n">
        <v>-2783518.18</v>
      </c>
      <c r="T62" s="9" t="n">
        <v>1666204.74</v>
      </c>
      <c r="U62" s="9" t="n">
        <v>1912115.32</v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2" t="n">
        <v>4407179.49</v>
      </c>
      <c r="G63" s="12" t="n">
        <v>467997.01</v>
      </c>
      <c r="H63" s="12" t="n">
        <v>-179543</v>
      </c>
      <c r="I63" s="12" t="n">
        <v>-287247.04</v>
      </c>
      <c r="J63" s="13" t="n">
        <v>0</v>
      </c>
      <c r="K63" s="13" t="n">
        <v>0</v>
      </c>
      <c r="L63" s="12" t="n">
        <v>4695633.5</v>
      </c>
      <c r="M63" s="12" t="n">
        <v>-2740974.75</v>
      </c>
      <c r="N63" s="12" t="n">
        <v>-111676.65</v>
      </c>
      <c r="O63" s="12" t="n">
        <v>68824.82</v>
      </c>
      <c r="P63" s="13" t="n">
        <v>0</v>
      </c>
      <c r="Q63" s="13" t="n">
        <v>0</v>
      </c>
      <c r="R63" s="12" t="n">
        <v>308.4</v>
      </c>
      <c r="S63" s="12" t="n">
        <v>-2783518.18</v>
      </c>
      <c r="T63" s="12" t="n">
        <v>1666204.74</v>
      </c>
      <c r="U63" s="12" t="n">
        <v>1912115.32</v>
      </c>
    </row>
    <row r="65" customFormat="false" ht="15" hidden="false" customHeight="false" outlineLevel="0" collapsed="false">
      <c r="F65" s="14" t="n">
        <f aca="false">+F63-F9</f>
        <v>0</v>
      </c>
      <c r="G65" s="14" t="n">
        <f aca="false">+G63-G9</f>
        <v>0</v>
      </c>
      <c r="H65" s="14" t="n">
        <f aca="false">+H63-H9</f>
        <v>0</v>
      </c>
      <c r="I65" s="14" t="n">
        <f aca="false">+I63-I9</f>
        <v>0</v>
      </c>
      <c r="J65" s="14" t="n">
        <f aca="false">+J63-J9</f>
        <v>0</v>
      </c>
      <c r="K65" s="14" t="n">
        <f aca="false">+K63-K9</f>
        <v>0</v>
      </c>
      <c r="L65" s="14" t="n">
        <f aca="false">+L63-L9</f>
        <v>0</v>
      </c>
      <c r="M65" s="14" t="n">
        <f aca="false">+M63-M9</f>
        <v>0</v>
      </c>
      <c r="N65" s="14" t="n">
        <f aca="false">+N63-N9</f>
        <v>0</v>
      </c>
      <c r="O65" s="14" t="n">
        <f aca="false">+O63-O9</f>
        <v>0</v>
      </c>
      <c r="P65" s="14" t="n">
        <f aca="false">+P63-P9</f>
        <v>0</v>
      </c>
      <c r="Q65" s="14" t="n">
        <f aca="false">+Q63-Q9</f>
        <v>0</v>
      </c>
      <c r="R65" s="14" t="n">
        <f aca="false">+R63-R9</f>
        <v>0</v>
      </c>
      <c r="S65" s="14" t="n">
        <f aca="false">+S63-S9</f>
        <v>0</v>
      </c>
      <c r="T65" s="14" t="n">
        <f aca="false">+T63-T9</f>
        <v>0</v>
      </c>
      <c r="U65" s="14" t="n">
        <f aca="false">+U63-U9</f>
        <v>0</v>
      </c>
    </row>
    <row r="67" customFormat="false" ht="15" hidden="false" customHeight="false" outlineLevel="0" collapsed="false">
      <c r="A67" s="1" t="s">
        <v>115</v>
      </c>
      <c r="D67" s="2" t="s">
        <v>116</v>
      </c>
      <c r="U67" s="14" t="n">
        <f aca="false">+U63</f>
        <v>1912115.32</v>
      </c>
    </row>
    <row r="68" customFormat="false" ht="15" hidden="false" customHeight="false" outlineLevel="0" collapsed="false">
      <c r="D68" s="2" t="s">
        <v>117</v>
      </c>
      <c r="U68" s="14" t="n">
        <f aca="false">1501.51</f>
        <v>1501.51</v>
      </c>
    </row>
    <row r="69" customFormat="false" ht="15" hidden="false" customHeight="false" outlineLevel="0" collapsed="false">
      <c r="D69" s="2" t="s">
        <v>118</v>
      </c>
      <c r="U69" s="14" t="n">
        <f aca="false">1013964.91+627574.84+91106.84</f>
        <v>1732646.59</v>
      </c>
    </row>
    <row r="70" customFormat="false" ht="15" hidden="false" customHeight="false" outlineLevel="0" collapsed="false">
      <c r="D70" s="2" t="s">
        <v>119</v>
      </c>
      <c r="U70" s="14" t="n">
        <f aca="false">177967.22</f>
        <v>177967.22</v>
      </c>
    </row>
    <row r="71" customFormat="false" ht="15" hidden="false" customHeight="false" outlineLevel="0" collapsed="false">
      <c r="D71" s="2" t="s">
        <v>120</v>
      </c>
      <c r="U71" s="14" t="n">
        <f aca="false">U67-SUM(U68:U70)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8"/>
    <col collapsed="false" customWidth="true" hidden="false" outlineLevel="0" max="22" min="5" style="0" width="15"/>
  </cols>
  <sheetData>
    <row r="1" customFormat="false" ht="30" hidden="false" customHeight="true" outlineLevel="0" collapsed="false">
      <c r="A1" s="4" t="s">
        <v>121</v>
      </c>
      <c r="B1" s="4" t="s">
        <v>122</v>
      </c>
      <c r="C1" s="4" t="s">
        <v>123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15" t="s">
        <v>124</v>
      </c>
      <c r="L1" s="4" t="s">
        <v>14</v>
      </c>
      <c r="M1" s="15" t="s">
        <v>125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</row>
    <row r="2" customFormat="false" ht="15" hidden="false" customHeight="false" outlineLevel="1" collapsed="false">
      <c r="A2" s="2" t="s">
        <v>126</v>
      </c>
      <c r="B2" s="2" t="s">
        <v>127</v>
      </c>
      <c r="C2" s="2" t="s">
        <v>128</v>
      </c>
      <c r="D2" s="2" t="s">
        <v>27</v>
      </c>
      <c r="E2" s="6" t="n">
        <v>238426.92</v>
      </c>
      <c r="F2" s="6" t="n">
        <v>1725</v>
      </c>
      <c r="G2" s="7" t="n">
        <v>0</v>
      </c>
      <c r="H2" s="7" t="n">
        <v>0</v>
      </c>
      <c r="I2" s="7" t="n">
        <v>0</v>
      </c>
      <c r="J2" s="7" t="n">
        <v>0</v>
      </c>
      <c r="K2" s="16" t="n">
        <f aca="false">SUM(E2:H2)</f>
        <v>240151.92</v>
      </c>
      <c r="L2" s="6" t="n">
        <v>240151.92</v>
      </c>
      <c r="M2" s="16" t="n">
        <f aca="false">L2-K2</f>
        <v>0</v>
      </c>
      <c r="N2" s="6" t="n">
        <v>-235762.08</v>
      </c>
      <c r="O2" s="6" t="n">
        <v>-2888.33</v>
      </c>
      <c r="P2" s="7" t="n">
        <v>0</v>
      </c>
      <c r="Q2" s="7" t="n">
        <v>0</v>
      </c>
      <c r="R2" s="7" t="n">
        <v>0</v>
      </c>
      <c r="S2" s="7" t="n">
        <v>0</v>
      </c>
      <c r="T2" s="6" t="n">
        <v>-238650.41</v>
      </c>
      <c r="U2" s="6" t="n">
        <v>2664.84</v>
      </c>
      <c r="V2" s="6" t="n">
        <v>1501.51</v>
      </c>
    </row>
    <row r="3" customFormat="false" ht="15" hidden="false" customHeight="false" outlineLevel="1" collapsed="false">
      <c r="A3" s="2" t="s">
        <v>126</v>
      </c>
      <c r="B3" s="2" t="s">
        <v>129</v>
      </c>
      <c r="C3" s="2" t="s">
        <v>130</v>
      </c>
      <c r="D3" s="2" t="s">
        <v>27</v>
      </c>
      <c r="E3" s="6" t="n">
        <v>132607.19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6" t="n">
        <f aca="false">SUM(E3:H3)</f>
        <v>132607.19</v>
      </c>
      <c r="L3" s="6" t="n">
        <v>132607.19</v>
      </c>
      <c r="M3" s="16" t="n">
        <f aca="false">L3-K3</f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6" t="n">
        <v>132607.19</v>
      </c>
      <c r="V3" s="6" t="n">
        <v>132607.19</v>
      </c>
    </row>
    <row r="4" customFormat="false" ht="15" hidden="false" customHeight="false" outlineLevel="1" collapsed="false">
      <c r="A4" s="2" t="s">
        <v>126</v>
      </c>
      <c r="B4" s="2" t="s">
        <v>131</v>
      </c>
      <c r="C4" s="2" t="s">
        <v>132</v>
      </c>
      <c r="D4" s="2" t="s">
        <v>27</v>
      </c>
      <c r="E4" s="6" t="n">
        <v>2671931.03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6" t="n">
        <f aca="false">SUM(E4:H4)</f>
        <v>2671931.03</v>
      </c>
      <c r="L4" s="6" t="n">
        <v>2671931.03</v>
      </c>
      <c r="M4" s="16" t="n">
        <f aca="false">L4-K4</f>
        <v>0</v>
      </c>
      <c r="N4" s="6" t="n">
        <v>-1758270.75</v>
      </c>
      <c r="O4" s="6" t="n">
        <v>-32302.56</v>
      </c>
      <c r="P4" s="7" t="n">
        <v>0</v>
      </c>
      <c r="Q4" s="7" t="n">
        <v>0</v>
      </c>
      <c r="R4" s="7" t="n">
        <v>0</v>
      </c>
      <c r="S4" s="7" t="n">
        <v>0</v>
      </c>
      <c r="T4" s="6" t="n">
        <v>-1790573.31</v>
      </c>
      <c r="U4" s="6" t="n">
        <v>913660.28</v>
      </c>
      <c r="V4" s="6" t="n">
        <v>881357.72</v>
      </c>
    </row>
    <row r="5" customFormat="false" ht="15" hidden="false" customHeight="false" outlineLevel="1" collapsed="false">
      <c r="A5" s="2" t="s">
        <v>126</v>
      </c>
      <c r="B5" s="2" t="s">
        <v>133</v>
      </c>
      <c r="C5" s="2" t="s">
        <v>134</v>
      </c>
      <c r="D5" s="2" t="s">
        <v>27</v>
      </c>
      <c r="E5" s="6" t="n">
        <v>386612.96</v>
      </c>
      <c r="F5" s="6" t="n">
        <v>214592.68</v>
      </c>
      <c r="G5" s="6" t="n">
        <v>-179543</v>
      </c>
      <c r="H5" s="7" t="n">
        <v>0</v>
      </c>
      <c r="I5" s="7" t="n">
        <v>0</v>
      </c>
      <c r="J5" s="7" t="n">
        <v>0</v>
      </c>
      <c r="K5" s="16" t="n">
        <f aca="false">SUM(E5:H5)</f>
        <v>421662.64</v>
      </c>
      <c r="L5" s="6" t="n">
        <v>708909.68</v>
      </c>
      <c r="M5" s="16" t="n">
        <f aca="false">L5-K5</f>
        <v>287247.04</v>
      </c>
      <c r="N5" s="6" t="n">
        <v>-123184.08</v>
      </c>
      <c r="O5" s="6" t="n">
        <v>-33213.72</v>
      </c>
      <c r="P5" s="6" t="n">
        <v>68824.82</v>
      </c>
      <c r="Q5" s="7" t="n">
        <v>0</v>
      </c>
      <c r="R5" s="7" t="n">
        <v>0</v>
      </c>
      <c r="S5" s="7" t="n">
        <v>0</v>
      </c>
      <c r="T5" s="6" t="n">
        <v>-87572.98</v>
      </c>
      <c r="U5" s="6" t="n">
        <v>263428.88</v>
      </c>
      <c r="V5" s="6" t="n">
        <v>621336.7</v>
      </c>
    </row>
    <row r="6" customFormat="false" ht="15" hidden="false" customHeight="false" outlineLevel="1" collapsed="false">
      <c r="A6" s="2" t="s">
        <v>126</v>
      </c>
      <c r="B6" s="2" t="s">
        <v>135</v>
      </c>
      <c r="C6" s="2" t="s">
        <v>136</v>
      </c>
      <c r="D6" s="2" t="s">
        <v>27</v>
      </c>
      <c r="E6" s="6" t="n">
        <v>98191.84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6" t="n">
        <f aca="false">SUM(E6:H6)</f>
        <v>98191.84</v>
      </c>
      <c r="L6" s="6" t="n">
        <v>98191.84</v>
      </c>
      <c r="M6" s="16" t="n">
        <f aca="false">L6-K6</f>
        <v>0</v>
      </c>
      <c r="N6" s="6" t="n">
        <v>-90394.41</v>
      </c>
      <c r="O6" s="6" t="n">
        <v>-1559.29</v>
      </c>
      <c r="P6" s="7" t="n">
        <v>0</v>
      </c>
      <c r="Q6" s="7" t="n">
        <v>0</v>
      </c>
      <c r="R6" s="7" t="n">
        <v>0</v>
      </c>
      <c r="S6" s="7" t="n">
        <v>0</v>
      </c>
      <c r="T6" s="6" t="n">
        <v>-91953.7</v>
      </c>
      <c r="U6" s="6" t="n">
        <v>7797.43</v>
      </c>
      <c r="V6" s="6" t="n">
        <v>6238.14</v>
      </c>
    </row>
    <row r="7" customFormat="false" ht="15" hidden="false" customHeight="false" outlineLevel="1" collapsed="false">
      <c r="A7" s="2" t="s">
        <v>126</v>
      </c>
      <c r="B7" s="2" t="s">
        <v>137</v>
      </c>
      <c r="C7" s="2" t="s">
        <v>138</v>
      </c>
      <c r="D7" s="2" t="s">
        <v>27</v>
      </c>
      <c r="E7" s="6" t="n">
        <v>70344.02</v>
      </c>
      <c r="F7" s="6" t="n">
        <v>1599.77</v>
      </c>
      <c r="G7" s="7" t="n">
        <v>0</v>
      </c>
      <c r="H7" s="7" t="n">
        <v>0</v>
      </c>
      <c r="I7" s="7" t="n">
        <v>0</v>
      </c>
      <c r="J7" s="7" t="n">
        <v>0</v>
      </c>
      <c r="K7" s="16" t="n">
        <f aca="false">SUM(E7:H7)</f>
        <v>71943.79</v>
      </c>
      <c r="L7" s="6" t="n">
        <v>71943.79</v>
      </c>
      <c r="M7" s="16" t="n">
        <f aca="false">L7-K7</f>
        <v>0</v>
      </c>
      <c r="N7" s="6" t="n">
        <v>-61517.89</v>
      </c>
      <c r="O7" s="6" t="n">
        <v>-7690.58</v>
      </c>
      <c r="P7" s="7" t="n">
        <v>0</v>
      </c>
      <c r="Q7" s="7" t="n">
        <v>0</v>
      </c>
      <c r="R7" s="7" t="n">
        <v>0</v>
      </c>
      <c r="S7" s="7" t="n">
        <v>0</v>
      </c>
      <c r="T7" s="6" t="n">
        <v>-69208.47</v>
      </c>
      <c r="U7" s="6" t="n">
        <v>8826.13</v>
      </c>
      <c r="V7" s="6" t="n">
        <v>2735.32</v>
      </c>
    </row>
    <row r="8" customFormat="false" ht="15" hidden="false" customHeight="false" outlineLevel="1" collapsed="false">
      <c r="A8" s="2" t="s">
        <v>126</v>
      </c>
      <c r="B8" s="2" t="s">
        <v>139</v>
      </c>
      <c r="C8" s="2" t="s">
        <v>140</v>
      </c>
      <c r="D8" s="2" t="s">
        <v>27</v>
      </c>
      <c r="E8" s="6" t="n">
        <v>3366.59</v>
      </c>
      <c r="F8" s="6" t="n">
        <v>2531.78</v>
      </c>
      <c r="G8" s="7" t="n">
        <v>0</v>
      </c>
      <c r="H8" s="7" t="n">
        <v>0</v>
      </c>
      <c r="I8" s="7" t="n">
        <v>0</v>
      </c>
      <c r="J8" s="7" t="n">
        <v>0</v>
      </c>
      <c r="K8" s="16" t="n">
        <f aca="false">SUM(E8:H8)</f>
        <v>5898.37</v>
      </c>
      <c r="L8" s="6" t="n">
        <v>5898.37</v>
      </c>
      <c r="M8" s="16" t="n">
        <f aca="false">L8-K8</f>
        <v>0</v>
      </c>
      <c r="N8" s="6" t="n">
        <v>-2719.49</v>
      </c>
      <c r="O8" s="6" t="n">
        <v>-187.53</v>
      </c>
      <c r="P8" s="7" t="n">
        <v>0</v>
      </c>
      <c r="Q8" s="7" t="n">
        <v>0</v>
      </c>
      <c r="R8" s="7" t="n">
        <v>0</v>
      </c>
      <c r="S8" s="7" t="n">
        <v>0</v>
      </c>
      <c r="T8" s="6" t="n">
        <v>-2907.02</v>
      </c>
      <c r="U8" s="6" t="n">
        <v>647.1</v>
      </c>
      <c r="V8" s="6" t="n">
        <v>2991.35</v>
      </c>
    </row>
    <row r="9" customFormat="false" ht="15" hidden="false" customHeight="false" outlineLevel="1" collapsed="false">
      <c r="A9" s="2" t="s">
        <v>126</v>
      </c>
      <c r="B9" s="2" t="s">
        <v>141</v>
      </c>
      <c r="C9" s="2" t="s">
        <v>142</v>
      </c>
      <c r="D9" s="2" t="s">
        <v>27</v>
      </c>
      <c r="E9" s="6" t="n">
        <v>104166.4</v>
      </c>
      <c r="F9" s="6" t="n">
        <v>53629.78</v>
      </c>
      <c r="G9" s="7" t="n">
        <v>0</v>
      </c>
      <c r="H9" s="7" t="n">
        <v>0</v>
      </c>
      <c r="I9" s="7" t="n">
        <v>0</v>
      </c>
      <c r="J9" s="7" t="n">
        <v>0</v>
      </c>
      <c r="K9" s="16" t="n">
        <f aca="false">SUM(E9:H9)</f>
        <v>157796.18</v>
      </c>
      <c r="L9" s="6" t="n">
        <v>157796.18</v>
      </c>
      <c r="M9" s="16" t="n">
        <f aca="false">L9-K9</f>
        <v>0</v>
      </c>
      <c r="N9" s="6" t="n">
        <v>-96553.93</v>
      </c>
      <c r="O9" s="6" t="n">
        <v>-9543.46</v>
      </c>
      <c r="P9" s="7" t="n">
        <v>0</v>
      </c>
      <c r="Q9" s="7" t="n">
        <v>0</v>
      </c>
      <c r="R9" s="7" t="n">
        <v>0</v>
      </c>
      <c r="S9" s="7" t="n">
        <v>0</v>
      </c>
      <c r="T9" s="6" t="n">
        <v>-106097.39</v>
      </c>
      <c r="U9" s="6" t="n">
        <v>7612.47</v>
      </c>
      <c r="V9" s="6" t="n">
        <v>51698.79</v>
      </c>
    </row>
    <row r="10" customFormat="false" ht="15" hidden="false" customHeight="false" outlineLevel="1" collapsed="false">
      <c r="A10" s="2" t="s">
        <v>126</v>
      </c>
      <c r="B10" s="2" t="s">
        <v>143</v>
      </c>
      <c r="C10" s="2" t="s">
        <v>144</v>
      </c>
      <c r="D10" s="2" t="s">
        <v>27</v>
      </c>
      <c r="E10" s="6" t="n">
        <v>359361.32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6" t="n">
        <f aca="false">SUM(E10:H10)</f>
        <v>359361.32</v>
      </c>
      <c r="L10" s="6" t="n">
        <v>359361.32</v>
      </c>
      <c r="M10" s="16" t="n">
        <f aca="false">L10-K10</f>
        <v>0</v>
      </c>
      <c r="N10" s="6" t="n">
        <v>-302194.1</v>
      </c>
      <c r="O10" s="6" t="n">
        <v>-23490.84</v>
      </c>
      <c r="P10" s="7" t="n">
        <v>0</v>
      </c>
      <c r="Q10" s="7" t="n">
        <v>0</v>
      </c>
      <c r="R10" s="7" t="n">
        <v>0</v>
      </c>
      <c r="S10" s="7" t="n">
        <v>0</v>
      </c>
      <c r="T10" s="6" t="n">
        <v>-325684.94</v>
      </c>
      <c r="U10" s="6" t="n">
        <v>57167.22</v>
      </c>
      <c r="V10" s="6" t="n">
        <v>33676.38</v>
      </c>
    </row>
    <row r="11" customFormat="false" ht="15" hidden="false" customHeight="false" outlineLevel="1" collapsed="false">
      <c r="A11" s="2" t="s">
        <v>126</v>
      </c>
      <c r="B11" s="2" t="s">
        <v>145</v>
      </c>
      <c r="C11" s="2" t="s">
        <v>146</v>
      </c>
      <c r="D11" s="2" t="s">
        <v>27</v>
      </c>
      <c r="E11" s="6" t="n">
        <v>69340.76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6" t="n">
        <f aca="false">SUM(E11:H11)</f>
        <v>69340.76</v>
      </c>
      <c r="L11" s="6" t="n">
        <v>69340.76</v>
      </c>
      <c r="M11" s="16" t="n">
        <f aca="false">L11-K11</f>
        <v>0</v>
      </c>
      <c r="N11" s="6" t="n">
        <v>-69318.42</v>
      </c>
      <c r="O11" s="6" t="n">
        <v>-17.34</v>
      </c>
      <c r="P11" s="7" t="n">
        <v>0</v>
      </c>
      <c r="Q11" s="7" t="n">
        <v>0</v>
      </c>
      <c r="R11" s="7" t="n">
        <v>0</v>
      </c>
      <c r="S11" s="7" t="n">
        <v>0</v>
      </c>
      <c r="T11" s="6" t="n">
        <v>-69335.76</v>
      </c>
      <c r="U11" s="6" t="n">
        <v>22.34</v>
      </c>
      <c r="V11" s="6" t="n">
        <v>5</v>
      </c>
    </row>
    <row r="12" customFormat="false" ht="15" hidden="false" customHeight="false" outlineLevel="1" collapsed="false">
      <c r="A12" s="2" t="s">
        <v>126</v>
      </c>
      <c r="B12" s="2" t="s">
        <v>147</v>
      </c>
      <c r="C12" s="2" t="s">
        <v>148</v>
      </c>
      <c r="D12" s="2" t="s">
        <v>27</v>
      </c>
      <c r="E12" s="6" t="n">
        <v>442.8</v>
      </c>
      <c r="F12" s="6" t="n">
        <v>783</v>
      </c>
      <c r="G12" s="7" t="n">
        <v>0</v>
      </c>
      <c r="H12" s="7" t="n">
        <v>0</v>
      </c>
      <c r="I12" s="7" t="n">
        <v>0</v>
      </c>
      <c r="J12" s="7" t="n">
        <v>0</v>
      </c>
      <c r="K12" s="16" t="n">
        <f aca="false">SUM(E12:H12)</f>
        <v>1225.8</v>
      </c>
      <c r="L12" s="6" t="n">
        <v>1225.8</v>
      </c>
      <c r="M12" s="16" t="n">
        <f aca="false">L12-K12</f>
        <v>0</v>
      </c>
      <c r="N12" s="6" t="n">
        <v>-442.8</v>
      </c>
      <c r="O12" s="6" t="n">
        <v>-783</v>
      </c>
      <c r="P12" s="7" t="n">
        <v>0</v>
      </c>
      <c r="Q12" s="7" t="n">
        <v>0</v>
      </c>
      <c r="R12" s="7" t="n">
        <v>0</v>
      </c>
      <c r="S12" s="7" t="n">
        <v>0</v>
      </c>
      <c r="T12" s="6" t="n">
        <v>-1225.8</v>
      </c>
      <c r="U12" s="7" t="n">
        <v>0</v>
      </c>
      <c r="V12" s="7" t="n">
        <v>0</v>
      </c>
    </row>
    <row r="13" customFormat="false" ht="15" hidden="false" customHeight="false" outlineLevel="1" collapsed="false">
      <c r="A13" s="2" t="s">
        <v>126</v>
      </c>
      <c r="B13" s="2" t="s">
        <v>149</v>
      </c>
      <c r="C13" s="2" t="s">
        <v>150</v>
      </c>
      <c r="D13" s="2" t="s">
        <v>27</v>
      </c>
      <c r="E13" s="6" t="n">
        <v>94112.04</v>
      </c>
      <c r="F13" s="6" t="n">
        <v>193135</v>
      </c>
      <c r="G13" s="7" t="n">
        <v>0</v>
      </c>
      <c r="H13" s="6" t="n">
        <v>-287247.04</v>
      </c>
      <c r="I13" s="7" t="n">
        <v>0</v>
      </c>
      <c r="J13" s="7" t="n">
        <v>0</v>
      </c>
      <c r="K13" s="16" t="n">
        <f aca="false">SUM(E13:H13)</f>
        <v>1.45519152283669E-011</v>
      </c>
      <c r="L13" s="7" t="n">
        <v>0</v>
      </c>
      <c r="M13" s="16" t="n">
        <f aca="false">L13-K13</f>
        <v>-1.45519152283669E-011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6" t="n">
        <v>94112.04</v>
      </c>
      <c r="V13" s="7" t="n">
        <v>0</v>
      </c>
    </row>
    <row r="14" customFormat="false" ht="15" hidden="false" customHeight="false" outlineLevel="1" collapsed="false">
      <c r="A14" s="2" t="s">
        <v>126</v>
      </c>
      <c r="B14" s="2" t="s">
        <v>151</v>
      </c>
      <c r="C14" s="2" t="s">
        <v>152</v>
      </c>
      <c r="D14" s="2" t="s">
        <v>27</v>
      </c>
      <c r="E14" s="6" t="n">
        <v>178275.62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6" t="n">
        <f aca="false">SUM(E14:H14)</f>
        <v>178275.62</v>
      </c>
      <c r="L14" s="6" t="n">
        <v>178275.62</v>
      </c>
      <c r="M14" s="16" t="n">
        <f aca="false">L14-K14</f>
        <v>0</v>
      </c>
      <c r="N14" s="6" t="n">
        <v>-616.8</v>
      </c>
      <c r="O14" s="7" t="n">
        <v>0</v>
      </c>
      <c r="P14" s="7" t="n">
        <v>0</v>
      </c>
      <c r="Q14" s="7" t="n">
        <v>0</v>
      </c>
      <c r="R14" s="7" t="n">
        <v>0</v>
      </c>
      <c r="S14" s="6" t="n">
        <v>308.4</v>
      </c>
      <c r="T14" s="6" t="n">
        <v>-308.4</v>
      </c>
      <c r="U14" s="6" t="n">
        <v>177658.82</v>
      </c>
      <c r="V14" s="6" t="n">
        <v>177967.22</v>
      </c>
    </row>
    <row r="15" customFormat="false" ht="15" hidden="false" customHeight="false" outlineLevel="0" collapsed="false">
      <c r="A15" s="8" t="s">
        <v>114</v>
      </c>
      <c r="B15" s="8"/>
      <c r="C15" s="8"/>
      <c r="D15" s="8" t="s">
        <v>27</v>
      </c>
      <c r="E15" s="9" t="n">
        <v>4407179.49</v>
      </c>
      <c r="F15" s="9" t="n">
        <v>467997.01</v>
      </c>
      <c r="G15" s="9" t="n">
        <v>-179543</v>
      </c>
      <c r="H15" s="9" t="n">
        <v>-287247.04</v>
      </c>
      <c r="I15" s="10" t="n">
        <v>0</v>
      </c>
      <c r="J15" s="10" t="n">
        <v>0</v>
      </c>
      <c r="K15" s="17" t="n">
        <f aca="false">SUM(K2:K14)</f>
        <v>4408386.46</v>
      </c>
      <c r="L15" s="9" t="n">
        <v>4695633.5</v>
      </c>
      <c r="M15" s="17" t="n">
        <f aca="false">SUM(M2:M14)</f>
        <v>287247.04</v>
      </c>
      <c r="N15" s="9" t="n">
        <v>-2740974.75</v>
      </c>
      <c r="O15" s="9" t="n">
        <v>-111676.65</v>
      </c>
      <c r="P15" s="9" t="n">
        <v>68824.82</v>
      </c>
      <c r="Q15" s="10" t="n">
        <v>0</v>
      </c>
      <c r="R15" s="10" t="n">
        <v>0</v>
      </c>
      <c r="S15" s="9" t="n">
        <v>308.4</v>
      </c>
      <c r="T15" s="9" t="n">
        <v>-2783518.18</v>
      </c>
      <c r="U15" s="9" t="n">
        <v>1666204.74</v>
      </c>
      <c r="V15" s="9" t="n">
        <v>1912115.32</v>
      </c>
    </row>
    <row r="16" customFormat="false" ht="15" hidden="false" customHeight="false" outlineLevel="0" collapsed="false">
      <c r="A16" s="11"/>
      <c r="B16" s="11"/>
      <c r="C16" s="11"/>
      <c r="D16" s="11" t="s">
        <v>27</v>
      </c>
      <c r="E16" s="12" t="n">
        <v>4407179.49</v>
      </c>
      <c r="F16" s="12" t="n">
        <v>467997.01</v>
      </c>
      <c r="G16" s="12" t="n">
        <v>-179543</v>
      </c>
      <c r="H16" s="12" t="n">
        <v>-287247.04</v>
      </c>
      <c r="I16" s="13" t="n">
        <v>0</v>
      </c>
      <c r="J16" s="13" t="n">
        <v>0</v>
      </c>
      <c r="K16" s="18" t="n">
        <f aca="false">SUM(K2:K14)</f>
        <v>4408386.46</v>
      </c>
      <c r="L16" s="12" t="n">
        <v>4695633.5</v>
      </c>
      <c r="M16" s="18" t="n">
        <f aca="false">SUM(M2:M14)</f>
        <v>287247.04</v>
      </c>
      <c r="N16" s="12" t="n">
        <v>-2740974.75</v>
      </c>
      <c r="O16" s="12" t="n">
        <v>-111676.65</v>
      </c>
      <c r="P16" s="12" t="n">
        <v>68824.82</v>
      </c>
      <c r="Q16" s="13" t="n">
        <v>0</v>
      </c>
      <c r="R16" s="13" t="n">
        <v>0</v>
      </c>
      <c r="S16" s="12" t="n">
        <v>308.4</v>
      </c>
      <c r="T16" s="12" t="n">
        <v>-2783518.18</v>
      </c>
      <c r="U16" s="12" t="n">
        <v>1666204.74</v>
      </c>
      <c r="V16" s="12" t="n">
        <v>1912115.32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